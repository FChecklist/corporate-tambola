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t\tambola\docs\"/>
    </mc:Choice>
  </mc:AlternateContent>
  <xr:revisionPtr revIDLastSave="0" documentId="13_ncr:1_{F7D7544C-D063-4B91-A674-AE5EC567C710}" xr6:coauthVersionLast="47" xr6:coauthVersionMax="47" xr10:uidLastSave="{00000000-0000-0000-0000-000000000000}"/>
  <bookViews>
    <workbookView xWindow="-110" yWindow="-110" windowWidth="19420" windowHeight="10300" xr2:uid="{00000000-000D-0000-FFFF-FFFF00000000}"/>
  </bookViews>
  <sheets>
    <sheet name="Read me" sheetId="1" r:id="rId1"/>
    <sheet name="Role matrix" sheetId="2" r:id="rId2"/>
    <sheet name="Your sheet vs system" sheetId="3" r:id="rId3"/>
    <sheet name="Payment made easy" sheetId="4" r:id="rId4"/>
    <sheet name="Easy for organizer and host" sheetId="5" r:id="rId5"/>
    <sheet name="Easy for participants" sheetId="6" r:id="rId6"/>
    <sheet name="Data timeline" sheetId="7" r:id="rId7"/>
    <sheet name="Decisions needed" sheetId="8" r:id="rId8"/>
    <sheet name="Limits and prices" sheetId="9" r:id="rId9"/>
  </sheets>
  <definedNames>
    <definedName name="_xlnm.Print_Titles" localSheetId="6">'Data timeline'!$1:$1</definedName>
    <definedName name="_xlnm.Print_Titles" localSheetId="7">'Decisions needed'!$1:$1</definedName>
    <definedName name="_xlnm.Print_Titles" localSheetId="4">'Easy for organizer and host'!$1:$1</definedName>
    <definedName name="_xlnm.Print_Titles" localSheetId="5">'Easy for participants'!$1:$1</definedName>
    <definedName name="_xlnm.Print_Titles" localSheetId="3">'Payment made easy'!$1:$1</definedName>
    <definedName name="_xlnm.Print_Titles" localSheetId="1">'Role matrix'!$1:$1</definedName>
    <definedName name="_xlnm.Print_Titles" localSheetId="2">'Your sheet vs system'!$1:$1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9" l="1"/>
  <c r="C25" i="9"/>
  <c r="D25" i="9" s="1"/>
  <c r="E24" i="9"/>
  <c r="C24" i="9"/>
  <c r="D24" i="9" s="1"/>
  <c r="E23" i="9"/>
  <c r="C23" i="9"/>
  <c r="D23" i="9" s="1"/>
  <c r="E22" i="9"/>
  <c r="C22" i="9"/>
  <c r="D22" i="9" s="1"/>
  <c r="E21" i="9"/>
  <c r="C21" i="9"/>
  <c r="D21" i="9" s="1"/>
  <c r="E20" i="9"/>
  <c r="C20" i="9"/>
  <c r="D20" i="9" s="1"/>
  <c r="E19" i="9"/>
  <c r="C19" i="9"/>
  <c r="D19" i="9" s="1"/>
  <c r="E18" i="9"/>
  <c r="C18" i="9"/>
  <c r="D18" i="9" s="1"/>
  <c r="B12" i="9"/>
  <c r="B13" i="1"/>
  <c r="B12" i="1"/>
  <c r="B11" i="1"/>
  <c r="B10" i="1"/>
  <c r="B14" i="1" l="1"/>
</calcChain>
</file>

<file path=xl/sharedStrings.xml><?xml version="1.0" encoding="utf-8"?>
<sst xmlns="http://schemas.openxmlformats.org/spreadsheetml/2006/main" count="976" uniqueCount="602">
  <si>
    <t>Corporate Tambola: who can do what</t>
  </si>
  <si>
    <t>Prepared 8 October 2026. Checked against the real system (code and tests), not only your sheet.</t>
  </si>
  <si>
    <t>Why this workbook</t>
  </si>
  <si>
    <t>You gave a first draft of the rules. This workbook checks every row against what the system really does, says what is good for the game, makes payment easier, and lists what we still need to build or you still need to decide.</t>
  </si>
  <si>
    <t>How to use it</t>
  </si>
  <si>
    <t>1) Read "Role matrix" (the answer, row by row).  2) Read "Your sheet vs system" to see exactly where your draft and the system differ.  3) Answer the yellow cells in "Decisions needed" (A, B or C).  Nothing is changed in the software until you answer.</t>
  </si>
  <si>
    <t>Levels</t>
  </si>
  <si>
    <t>Level 1 Organizer (1 for each game).  Level 2 Host (up to 5).  Level 3 Co-host (any number).  Level 4 Participant who joined directly or through a Co-host.  Level 5 Participant invited by a participant (can play, cannot invite).</t>
  </si>
  <si>
    <t>Colour of Status</t>
  </si>
  <si>
    <t>Green OK = the system already does this.  Yellow Small change = a small build.  Orange Build = a real new feature.  Red Decide = you must choose first.</t>
  </si>
  <si>
    <t>Where things stand (counts update by themselves)</t>
  </si>
  <si>
    <t>Already built and working</t>
  </si>
  <si>
    <t>Small change needed</t>
  </si>
  <si>
    <t>New feature to build</t>
  </si>
  <si>
    <t>Needs your decision</t>
  </si>
  <si>
    <t>Total rules checked</t>
  </si>
  <si>
    <t>Sheets</t>
  </si>
  <si>
    <t>Role matrix</t>
  </si>
  <si>
    <t>Every rule, by role, with the reason, what the system does today, and its status.</t>
  </si>
  <si>
    <t>Your sheet vs system</t>
  </si>
  <si>
    <t>Each place your draft differs from the system, with my recommendation.</t>
  </si>
  <si>
    <t>Payment made easy</t>
  </si>
  <si>
    <t>Ideas that make paying quick, with their status.</t>
  </si>
  <si>
    <t>Easy for organizer and host</t>
  </si>
  <si>
    <t>Ideas that save the Organizer and Host time.</t>
  </si>
  <si>
    <t>Easy for participants</t>
  </si>
  <si>
    <t>Ideas that make the guest's experience simple.</t>
  </si>
  <si>
    <t>Data timeline</t>
  </si>
  <si>
    <t>What happens to the data, from draft to 365 days, and who is told.</t>
  </si>
  <si>
    <t>Decisions needed</t>
  </si>
  <si>
    <t>Twelve questions for you, each with options and my recommendation.</t>
  </si>
  <si>
    <t>Limits and prices</t>
  </si>
  <si>
    <t>Numbers used in the rules, with prices and GST worked out by formulas.</t>
  </si>
  <si>
    <t>What I checked</t>
  </si>
  <si>
    <t>Role code and tests (apps/edge/src/worker.ts, apps/edge/test/roles.test.ts), payment (pay.ts), reports and deletion (lifecycle.ts, report-layout.ts), invites (config.ts), the console (apps/web/public/zc.js). Full developer notes are in docs/dev/.</t>
  </si>
  <si>
    <t>#</t>
  </si>
  <si>
    <t>Rule</t>
  </si>
  <si>
    <t>Organizer
(Level 1)</t>
  </si>
  <si>
    <t>Host
(Level 2)</t>
  </si>
  <si>
    <t>Co-host
(Level 3)</t>
  </si>
  <si>
    <t>Participant
who joined directly
(Level 4)</t>
  </si>
  <si>
    <t>Participant
invited by a participant
(Level 5)</t>
  </si>
  <si>
    <t>Why this is right for Corporate Tambola</t>
  </si>
  <si>
    <t>What the system does today</t>
  </si>
  <si>
    <t>Status</t>
  </si>
  <si>
    <t>A. WHAT EACH PERSON CAN OPEN AND SEE</t>
  </si>
  <si>
    <t>Has the organizer console (the full control page)</t>
  </si>
  <si>
    <t>Yes</t>
  </si>
  <si>
    <t>No. Gets "My page" instead: own link, own count, pay button</t>
  </si>
  <si>
    <t>No</t>
  </si>
  <si>
    <t>A Co-host only needs to invite and pay, so a small page is enough. Calling it "My page" keeps the word "console" for people who run the game.</t>
  </si>
  <si>
    <t>A Co-host already opens a short 3-step page (game, invite people, payment). The full console is for Organizer and Host.</t>
  </si>
  <si>
    <t>OK</t>
  </si>
  <si>
    <t>Sees all game data (names, numbers, results, report link)</t>
  </si>
  <si>
    <t>All data</t>
  </si>
  <si>
    <t>Own invitees only</t>
  </si>
  <si>
    <t>People should see only what they need. Showing a person the people they brought builds trust and lets them follow up.</t>
  </si>
  <si>
    <t>Co-host and guests see only a COUNT of the people they brought. They do not see names.</t>
  </si>
  <si>
    <t>Decide</t>
  </si>
  <si>
    <t>Sees the names of the people they invited</t>
  </si>
  <si>
    <t>All</t>
  </si>
  <si>
    <t>Yes: first name and last 4 digits of mobile</t>
  </si>
  <si>
    <t>Less personal data shown is safer under the privacy laws we say we follow. Last 4 digits are enough to recognise a person.</t>
  </si>
  <si>
    <t>Not built. Counts only.</t>
  </si>
  <si>
    <t>Build</t>
  </si>
  <si>
    <t>Can remove a person from the game</t>
  </si>
  <si>
    <t>Anyone</t>
  </si>
  <si>
    <t>Stops a wrong person (an outsider who got a forwarded link) from playing. Limited to your own invitees so nobody removes strangers.</t>
  </si>
  <si>
    <t>NOT built during a game. Today the Organizer can only move a ticket to a new phone, or delete a person's data after the game ends.</t>
  </si>
  <si>
    <t>Can pause, resume or end the game</t>
  </si>
  <si>
    <t>Running the game on the day is the Organizer's and Host's job. Needs the signing key in their own browser.</t>
  </si>
  <si>
    <t>Organizer and Host can. Co-host cannot.</t>
  </si>
  <si>
    <t>Can change rules, prizes, brand moments, size (before the first number)</t>
  </si>
  <si>
    <t>Same people who run the game decide what the game is. Everything locks when the first number is called, so nobody can change the game mid-play.</t>
  </si>
  <si>
    <t>Organizer and Host can change until the game starts.</t>
  </si>
  <si>
    <t>Can cancel the game</t>
  </si>
  <si>
    <t>A cancelled game that was never paid should simply disappear. A paid game keeps its rules (no refund once paid).</t>
  </si>
  <si>
    <t>NOT built. There is no Cancel button today. An unpaid draft is forgotten after 30 days.</t>
  </si>
  <si>
    <t>Can add Hosts</t>
  </si>
  <si>
    <t>Yes (up to 5)</t>
  </si>
  <si>
    <t>Only the person who owns the account decides who can run the game.</t>
  </si>
  <si>
    <t>Organizer only, maximum 5.</t>
  </si>
  <si>
    <t>Can add Co-hosts</t>
  </si>
  <si>
    <t>Hosts need to bring in helpers without waiting for the Organizer.</t>
  </si>
  <si>
    <t>Organizer and Host can add. No limit.</t>
  </si>
  <si>
    <t>Account actions: change sign-in e-mail, retire sign-in keys, manage the AI link, close the account</t>
  </si>
  <si>
    <t>These affect everything the Organizer owns, so they stay with the owner of the account.</t>
  </si>
  <si>
    <t>Organizer only.</t>
  </si>
  <si>
    <t>Can see the "payment pending" message on the console / My page</t>
  </si>
  <si>
    <t>No page</t>
  </si>
  <si>
    <t>Everyone who can pay should see that payment is still due.</t>
  </si>
  <si>
    <t>Shown to Organizer, Host and Co-host.</t>
  </si>
  <si>
    <t>B. AI HELP</t>
  </si>
  <si>
    <t>AI Assistant link (copy and paste into ChatGPT, Gemini, Claude, Grok, DeepSeek, z.ai ...)</t>
  </si>
  <si>
    <t>Yes (own link, Host rights)</t>
  </si>
  <si>
    <t>A Host often does the setup work. The AI can never pay, publish, erase data, pause the game or choose winners, for anyone.</t>
  </si>
  <si>
    <t>Organizer has the full AI link. A Host link exists but is narrow (watch, announce, tick prizes given). It does not match what a Host can do.</t>
  </si>
  <si>
    <t>Small change</t>
  </si>
  <si>
    <t>AI in the web browser (the guest-names privacy switch)</t>
  </si>
  <si>
    <t>Keeps the promise "your AI never sees guest names or numbers" when an AI works inside your browser.</t>
  </si>
  <si>
    <t>Built as a checkbox. YOU asked where it should sit. Waiting for your choice (see the Decisions sheet).</t>
  </si>
  <si>
    <t>C. LIMITS AND INVITES</t>
  </si>
  <si>
    <t>Maximum people in this role for one game</t>
  </si>
  <si>
    <t>1</t>
  </si>
  <si>
    <t>5</t>
  </si>
  <si>
    <t>Unlimited</t>
  </si>
  <si>
    <t>Unlimited, up to the size you bought</t>
  </si>
  <si>
    <t>Total guests can never go above the pack paid for (for example 250). Hosts are capped so control stays simple.</t>
  </si>
  <si>
    <t>Hosts capped at 5. Co-hosts unlimited. Guests limited by the pack size.</t>
  </si>
  <si>
    <t>How many people can they invite</t>
  </si>
  <si>
    <t>100 (you wrote). Recommended: default 100, Organizer can change it</t>
  </si>
  <si>
    <t>Up to 4 (Organizer picks 1 to 4)</t>
  </si>
  <si>
    <t>None. Plays only</t>
  </si>
  <si>
    <t>Two levels only keeps the guest list under control and every person traceable to who invited them.</t>
  </si>
  <si>
    <t>Co-host: unlimited today. Guests: up to 4, built and tested. Guests invited by a guest: cannot invite, built and tested.</t>
  </si>
  <si>
    <t>Can switch ON "guests can invite family or colleagues"</t>
  </si>
  <si>
    <t>No. Asks the Organizer or a Host</t>
  </si>
  <si>
    <t>A Co-host helps with invites but should not change the game's rules.</t>
  </si>
  <si>
    <t>Organizer and Host can. Co-host sees a note telling them to ask.</t>
  </si>
  <si>
    <t>Invites show who invited whom (chain)</t>
  </si>
  <si>
    <t>Yes (own people)</t>
  </si>
  <si>
    <t>Lets the Organizer see which Co-host or guest brought people, and gives a fair record.</t>
  </si>
  <si>
    <t>Chain is recorded and shown in the report.</t>
  </si>
  <si>
    <t>D. PAYMENT</t>
  </si>
  <si>
    <t>Can make the payment</t>
  </si>
  <si>
    <t>Yes (recommended). Your sheet says NO in one row and YES in another</t>
  </si>
  <si>
    <t>A game is often paid by whoever holds the budget, and that may be a Co-host. One payment is enough.</t>
  </si>
  <si>
    <t>Organizer, Host and Co-host can pay. The pay page works for all three.</t>
  </si>
  <si>
    <t>Can share the payment link</t>
  </si>
  <si>
    <t>Lets the Organizer pass payment to a finance person.</t>
  </si>
  <si>
    <t>There is no "Copy payment link" button yet. The person must sign in to pay.</t>
  </si>
  <si>
    <t>Anyone (even someone not signed in, like a finance team member) can pay with the link</t>
  </si>
  <si>
    <t>THE BIGGEST EASE-OF-PAYMENT WIN. In companies the person who pays is usually not the person who runs the game. A special pay link takes only name and e-mail.</t>
  </si>
  <si>
    <t>NOT built. Paying needs a sign-in key today.</t>
  </si>
  <si>
    <t>Sees a message that payment is not done, on the guest's ticket</t>
  </si>
  <si>
    <t>Soft message only. Recommended: "Waiting for the organizer to start"</t>
  </si>
  <si>
    <t>Soft message only</t>
  </si>
  <si>
    <t>Showing guests "not paid" embarrasses the organizer and causes questions. A soft waiting message tells guests what they need to know.</t>
  </si>
  <si>
    <t>Guests see "waiting for the organizer". Only the Organizer side sees "payment pending".</t>
  </si>
  <si>
    <t>Game starts when the payment is made</t>
  </si>
  <si>
    <t>n/a</t>
  </si>
  <si>
    <t>Paid before the start time: the game starts on time. Paid late: see next row.</t>
  </si>
  <si>
    <t>Works. Unpaid at the start time: guests wait, nothing is charged, nothing is lost.</t>
  </si>
  <si>
    <t>If paid after the start time, the game starts 2 minutes after payment</t>
  </si>
  <si>
    <t>A short, clear promise: pay, then play in 2 minutes.</t>
  </si>
  <si>
    <t>Starts about 3 minutes after payment (1 minute for the system plus 2 minutes of set-up for guests). Needs one small number changed.</t>
  </si>
  <si>
    <t>Payment is shown as "Paid" or "Payment pending" for everyone who can pay</t>
  </si>
  <si>
    <t>One simple status, no confusion about who has to pay.</t>
  </si>
  <si>
    <t>Built: status pill plus one-payment notice that disappears when paid.</t>
  </si>
  <si>
    <t>Minimum details to pay</t>
  </si>
  <si>
    <t>Name + e-mail</t>
  </si>
  <si>
    <t>Fewer fields means more completed payments. Organization, mobile, country and GSTIN are optional.</t>
  </si>
  <si>
    <t>Built and tested.</t>
  </si>
  <si>
    <t>E. PEOPLE DETAILS WE NEED</t>
  </si>
  <si>
    <t>E-mail needed</t>
  </si>
  <si>
    <t>Yes. Collect it when the Host is added</t>
  </si>
  <si>
    <t>Hosts need e-mail to receive winners, reminders and deletion confirmation, like the Organizer.</t>
  </si>
  <si>
    <t>Organizer: yes. Host: NOT collected today (only a name or label).</t>
  </si>
  <si>
    <t>Mobile number needed</t>
  </si>
  <si>
    <t>Optional. Needed only if they also play</t>
  </si>
  <si>
    <t>A mobile number is how a guest's ticket is tied to one phone. Helpers who only manage need not give it.</t>
  </si>
  <si>
    <t>Guests: yes. Organizer: yes at publish. Host and Co-host: not asked unless they play.</t>
  </si>
  <si>
    <t>Needs a link to join</t>
  </si>
  <si>
    <t>One link per person keeps it simple. No app to install.</t>
  </si>
  <si>
    <t>Built. Every person comes in through a link.</t>
  </si>
  <si>
    <t>Waiting room: a person not on the list asks to come in and is admitted (like Zoho Meet or Google Meet)</t>
  </si>
  <si>
    <t>Their own invitees are admitted automatically</t>
  </si>
  <si>
    <t>Their own invitees (up to 4) are admitted automatically</t>
  </si>
  <si>
    <t>For private company games: the Organizer sees an unknown name and decides. People who came through a trusted person need no approval.</t>
  </si>
  <si>
    <t>NOT built. Invitation-only games turn away numbers not on the list with a message. There is no waiting list to approve.</t>
  </si>
  <si>
    <t>F. DATA, REPORTS AND DELETION (DPDP)</t>
  </si>
  <si>
    <t>Participants' personal data deleted within 24 hours of the game ending</t>
  </si>
  <si>
    <t>Yes, deleted with participants (you wrote YES)</t>
  </si>
  <si>
    <t>Matches what we promise on the website: guest names and numbers are erased within 24 hours.</t>
  </si>
  <si>
    <t>Participants: done (job runs at 23 hours). Today the report text says Organizer, Host and Co-host details are kept 365 days. Your sheet says Co-host data is deleted. One small change plus wording.</t>
  </si>
  <si>
    <t>Organizer / Host details and winners / payment record kept</t>
  </si>
  <si>
    <t>Kept 365 days</t>
  </si>
  <si>
    <t>Deleted with participants</t>
  </si>
  <si>
    <t>Winners record kept 365 days</t>
  </si>
  <si>
    <t>Keeps only what the law and invoices need. Winners' prize hand-over record is kept so prizes can be proved.</t>
  </si>
  <si>
    <t>Organizer, Host and Co-host details kept 365 days today. Winners record kept 365 days.</t>
  </si>
  <si>
    <t>Full report with ALL data (names, numbers, results) e-mailed as PDF within 24 hours</t>
  </si>
  <si>
    <t>The report holds every person's name and number, so it goes only to the Organizer.</t>
  </si>
  <si>
    <t>E-mailed to the Organizer as one link about 3 minutes after the game. The link closes after 22 hours. A reminder goes 6 hours before. Hosts can also reach the link on their page (widened in the last build). Recommend removing this for Hosts.</t>
  </si>
  <si>
    <t>Winners list e-mailed within 24 hours</t>
  </si>
  <si>
    <t>Winners must be handed their prizes; Hosts often do that on the day.</t>
  </si>
  <si>
    <t>Winners are inside the Organizer's report only. Hosts get no winners e-mail.</t>
  </si>
  <si>
    <t>"Your guests' personal data has been deleted" e-mail at the 24th hour</t>
  </si>
  <si>
    <t>A clear proof that we deleted what we promised, with the time it was done. Very reassuring for corporate buyers.</t>
  </si>
  <si>
    <t>NOT built for the automatic deletion. Only the manual deletion sends a confirmation.</t>
  </si>
  <si>
    <t>Backups clear within 7 days after the deletion</t>
  </si>
  <si>
    <t>Honest statement of how long a backup copy may still exist.</t>
  </si>
  <si>
    <t>Built and stated on the website and in the report.</t>
  </si>
  <si>
    <t>G. FAIRNESS AND SAFETY</t>
  </si>
  <si>
    <t>Organizer / Host / Co-host tickets cannot win lucky draws (flagged before the game)</t>
  </si>
  <si>
    <t>Excluded</t>
  </si>
  <si>
    <t>Can win</t>
  </si>
  <si>
    <t>Keeps the prize draw fair in the eyes of the guests.</t>
  </si>
  <si>
    <t>Built and tested in the last release. Flagging is blocked once the game has begun.</t>
  </si>
  <si>
    <t>Nobody can choose or change a winner or a number</t>
  </si>
  <si>
    <t>No one</t>
  </si>
  <si>
    <t>Winners are decided by the software from public random numbers and agreed by many phones.</t>
  </si>
  <si>
    <t>Built. This is the core fairness promise.</t>
  </si>
  <si>
    <t>Row in your sheet</t>
  </si>
  <si>
    <t>Role</t>
  </si>
  <si>
    <t>You wrote</t>
  </si>
  <si>
    <t>System today</t>
  </si>
  <si>
    <t>My recommendation</t>
  </si>
  <si>
    <t>Why</t>
  </si>
  <si>
    <t>Action</t>
  </si>
  <si>
    <t>Console</t>
  </si>
  <si>
    <t>Co-host</t>
  </si>
  <si>
    <t>Co-host opens a short 3-step page.</t>
  </si>
  <si>
    <t>Keep "no console". Call the page "My page".</t>
  </si>
  <si>
    <t>Co-host needs a place to copy their link and pay.</t>
  </si>
  <si>
    <t>Change your sheet</t>
  </si>
  <si>
    <t>Can see</t>
  </si>
  <si>
    <t>Co-host, Participant (L4)</t>
  </si>
  <si>
    <t>Only his invitees, link</t>
  </si>
  <si>
    <t>Only a count, no names.</t>
  </si>
  <si>
    <t>Show first name + last 4 digits of mobile for their own invitees.</t>
  </si>
  <si>
    <t>Useful, and still light on personal data.</t>
  </si>
  <si>
    <t>Can remove from game</t>
  </si>
  <si>
    <t>Organizer/Host anyone; Co-host and L4 own invitees</t>
  </si>
  <si>
    <t>Not built during a game.</t>
  </si>
  <si>
    <t>Build "Remove" for the people they brought. After the first number only Organizer and Host can remove.</t>
  </si>
  <si>
    <t>Stops a wrong person playing without hurting a running game.</t>
  </si>
  <si>
    <t>AI WORK LINK</t>
  </si>
  <si>
    <t>Host</t>
  </si>
  <si>
    <t>YES</t>
  </si>
  <si>
    <t>Host link exists but is narrow.</t>
  </si>
  <si>
    <t>Give the Host an AI link with Host rights. AI still cannot pay, publish, erase, pause or pick winners.</t>
  </si>
  <si>
    <t>Hosts do setup work too.</t>
  </si>
  <si>
    <t>AI IN BROWSER</t>
  </si>
  <si>
    <t>One switch for everyone. The box is shown on every page.</t>
  </si>
  <si>
    <t>Move the switch into the AI Assistant strip for Organizer and Host only. Off by default.</t>
  </si>
  <si>
    <t>Matches your mock: AI Assistant = copy and paste link.</t>
  </si>
  <si>
    <t>MAXIMUM</t>
  </si>
  <si>
    <t>Participants</t>
  </si>
  <si>
    <t>UNLIMITED</t>
  </si>
  <si>
    <t>Limited by the size bought (for example 250).</t>
  </si>
  <si>
    <t>Keep unlimited in the sheet but say "up to the size you bought".</t>
  </si>
  <si>
    <t>Total people can never exceed the pack.</t>
  </si>
  <si>
    <t>CAN INVITE</t>
  </si>
  <si>
    <t>100</t>
  </si>
  <si>
    <t>Unlimited.</t>
  </si>
  <si>
    <t>Default 100 per Co-host. Organizer can change it (10 to 1000).</t>
  </si>
  <si>
    <t>Stops one Co-host filling the game; flexible when needed.</t>
  </si>
  <si>
    <t>Participant (L4)</t>
  </si>
  <si>
    <t>4</t>
  </si>
  <si>
    <t>Up to 4, Organizer picks 1 to 4.</t>
  </si>
  <si>
    <t>Keep.</t>
  </si>
  <si>
    <t>Already built and tested.</t>
  </si>
  <si>
    <t>Keep yours</t>
  </si>
  <si>
    <t>Participant (L5)</t>
  </si>
  <si>
    <t>(blank)</t>
  </si>
  <si>
    <t>Cannot invite.</t>
  </si>
  <si>
    <t>Write NO.</t>
  </si>
  <si>
    <t>Two levels only is built and tested.</t>
  </si>
  <si>
    <t>MAKE PAYMENT</t>
  </si>
  <si>
    <t>NO</t>
  </si>
  <si>
    <t>Co-host can pay.</t>
  </si>
  <si>
    <t>YES. Your sheet also says PAYMENT CAN BE DONE = YES for Co-host.</t>
  </si>
  <si>
    <t>Your own rows disagree. YES is the better rule.</t>
  </si>
  <si>
    <t>SHARE PAYMENT LINK</t>
  </si>
  <si>
    <t>Org, Host, Co-host</t>
  </si>
  <si>
    <t>No Copy button. Pay needs sign-in.</t>
  </si>
  <si>
    <t>Add a "Copy payment link" button and a link anyone can pay with.</t>
  </si>
  <si>
    <t>Easiest payment idea for companies.</t>
  </si>
  <si>
    <t>PAYMENT LINK CAN GO TO ANYONE</t>
  </si>
  <si>
    <t>All who pay</t>
  </si>
  <si>
    <t>Yes, game begins once paid</t>
  </si>
  <si>
    <t>Not built. Pay needs a sign-in key.</t>
  </si>
  <si>
    <t>Build a special pay link: shows only game name, date, price. Asks name + e-mail. Pays that game only.</t>
  </si>
  <si>
    <t>Finance teams pay without being given console access.</t>
  </si>
  <si>
    <t>SEE'S MESSAGE OF PAYMENT NOT DONE - ON TICKET</t>
  </si>
  <si>
    <t>Guests see "waiting for the organizer". Only organizer side sees payment pending.</t>
  </si>
  <si>
    <t>Keep the soft message for guests. Do not show "not paid".</t>
  </si>
  <si>
    <t>Protects the organizer and avoids guests asking about money.</t>
  </si>
  <si>
    <t>SEE'S MESSAGE ... ON CONSOLE</t>
  </si>
  <si>
    <t>Participants have no console.</t>
  </si>
  <si>
    <t>Not needed. Mark N/A.</t>
  </si>
  <si>
    <t>They never open a console.</t>
  </si>
  <si>
    <t>HAVE CONSOLE ACCESS</t>
  </si>
  <si>
    <t>Same as Console row</t>
  </si>
  <si>
    <t>Repeats the Console row.</t>
  </si>
  <si>
    <t>Delete this row.</t>
  </si>
  <si>
    <t>Duplicate row.</t>
  </si>
  <si>
    <t>PERSONAL DATA DELETED WITHIN 24 HOURS</t>
  </si>
  <si>
    <t>Report text says Co-host details are kept 365 days.</t>
  </si>
  <si>
    <t>Delete Co-host details with participants. Keep Organizer and Host details 365 days.</t>
  </si>
  <si>
    <t>Keeps less data. Matches your sheet.</t>
  </si>
  <si>
    <t>ALL DATA IN PDF TO ORGANIZER EMAIL</t>
  </si>
  <si>
    <t>Organizer gets the report link. Host can also reach the link on their page.</t>
  </si>
  <si>
    <t>Keep Host as NO. Remove the Host's access to the report link.</t>
  </si>
  <si>
    <t>The report holds every name and number.</t>
  </si>
  <si>
    <t>WINNERS DATA EMAIL WITHIN 24 HOURS</t>
  </si>
  <si>
    <t>No Host e-mail. Winners are only in the Organizer's report.</t>
  </si>
  <si>
    <t>Send a winners list e-mail to Organizer and Host.</t>
  </si>
  <si>
    <t>Hosts hand over prizes.</t>
  </si>
  <si>
    <t>PERSONAL DATA DELETED EMAIL AT 24TH HOUR</t>
  </si>
  <si>
    <t>Org, Host</t>
  </si>
  <si>
    <t>Not sent for automatic deletion.</t>
  </si>
  <si>
    <t>Send it with the time of deletion.</t>
  </si>
  <si>
    <t>Strong proof for corporate buyers.</t>
  </si>
  <si>
    <t>EMAIL NEEDED</t>
  </si>
  <si>
    <t>Host e-mail is not collected.</t>
  </si>
  <si>
    <t>Ask for the Host's e-mail when adding the Host.</t>
  </si>
  <si>
    <t>Needed for winners, reminders and deletion e-mails.</t>
  </si>
  <si>
    <t>MOBILE NUMBER NEEDED</t>
  </si>
  <si>
    <t>Host, Co-host</t>
  </si>
  <si>
    <t>Not asked unless they play.</t>
  </si>
  <si>
    <t>Optional. Needed only if they also play.</t>
  </si>
  <si>
    <t>Fewer fields for helpers.</t>
  </si>
  <si>
    <t>LIKE ZOHO / GOOGLE MEET - PERSON CAN BE ADMITTED</t>
  </si>
  <si>
    <t>All five</t>
  </si>
  <si>
    <t>Not built. Only invitation-only turn-away.</t>
  </si>
  <si>
    <t>Organizer and Host admit people. Invitees of a Co-host or guest are admitted automatically.</t>
  </si>
  <si>
    <t>Admitting is an Organizer/Host job only.</t>
  </si>
  <si>
    <t>GAME CAN BE CANCELLED / EDITED</t>
  </si>
  <si>
    <t>Edit: yes. Cancel: no Cancel button.</t>
  </si>
  <si>
    <t>Add Cancel (before it is paid or before it starts).</t>
  </si>
  <si>
    <t>Clears a game that is no longer wanted.</t>
  </si>
  <si>
    <t>IF PAYMENT IS DONE AFTER THE GAME TIME ... 2 MINUTES AFTER</t>
  </si>
  <si>
    <t>2 minutes</t>
  </si>
  <si>
    <t>About 3 minutes after payment.</t>
  </si>
  <si>
    <t>Change one number so it is 2 minutes.</t>
  </si>
  <si>
    <t>Matches what you promise.</t>
  </si>
  <si>
    <t>ALL PERSONAL DATA DELETED ... EXCEPT FOR ORGANIZERS / HOSTS / WINNERS / PAYMENT DETAILS</t>
  </si>
  <si>
    <t>As written</t>
  </si>
  <si>
    <t>Organizer, Host and Co-host details, winners and invoice records are kept.</t>
  </si>
  <si>
    <t>Agree with your sheet (Co-host removed from the kept list).</t>
  </si>
  <si>
    <t>Same rule, one change.</t>
  </si>
  <si>
    <t>Idea</t>
  </si>
  <si>
    <t>Who it helps</t>
  </si>
  <si>
    <t>What the person sees</t>
  </si>
  <si>
    <t>Why it increases payments</t>
  </si>
  <si>
    <t>Priority</t>
  </si>
  <si>
    <t>Pay with only a name and an e-mail</t>
  </si>
  <si>
    <t>Everyone who pays</t>
  </si>
  <si>
    <t>A short form: name, e-mail. Mobile, organization, country, GSTIN are optional.</t>
  </si>
  <si>
    <t>Fewer boxes means fewer people give up.</t>
  </si>
  <si>
    <t>High</t>
  </si>
  <si>
    <t>India and +91 already chosen</t>
  </si>
  <si>
    <t>Indian buyers</t>
  </si>
  <si>
    <t>Country and country code are pre-filled.</t>
  </si>
  <si>
    <t>Saves two taps.</t>
  </si>
  <si>
    <t>Name, e-mail and mobile passed to Razorpay's window</t>
  </si>
  <si>
    <t>Razorpay opens with the details already filled.</t>
  </si>
  <si>
    <t>No typing the same thing twice.</t>
  </si>
  <si>
    <t>One-payment notice, gone once paid</t>
  </si>
  <si>
    <t>Organizer, Host, Co-host</t>
  </si>
  <si>
    <t>"Just one of you needs to pay." Disappears when paid.</t>
  </si>
  <si>
    <t>Stops three people each thinking they must pay, or nobody paying.</t>
  </si>
  <si>
    <t>Pay link that anyone can open (no sign-in)</t>
  </si>
  <si>
    <t>Finance or admin person</t>
  </si>
  <si>
    <t>A page with game name, date, price with GST, and one Pay button.</t>
  </si>
  <si>
    <t>In companies the payer is usually not the organizer. This removes the biggest delay.</t>
  </si>
  <si>
    <t>"Copy payment link" button next to the status</t>
  </si>
  <si>
    <t>One tap copies a message: "Please pay for our game: &lt;link&gt;".</t>
  </si>
  <si>
    <t>Easy to forward on WhatsApp or e-mail.</t>
  </si>
  <si>
    <t>Price shown with GST before the person clicks Pay</t>
  </si>
  <si>
    <t>Payers</t>
  </si>
  <si>
    <t>Total in rupees with GST and one sentence about one game only.</t>
  </si>
  <si>
    <t>No surprise at the last step.</t>
  </si>
  <si>
    <t>Medium</t>
  </si>
  <si>
    <t>Instant "Paid" status for everyone</t>
  </si>
  <si>
    <t>Status pill turns green and shows who paid and when.</t>
  </si>
  <si>
    <t>Confirms the job is done.</t>
  </si>
  <si>
    <t>Invoice by e-mail straight away</t>
  </si>
  <si>
    <t>Payer, accounts team</t>
  </si>
  <si>
    <t>A GST invoice link in the e-mail.</t>
  </si>
  <si>
    <t>Corporate buyers need an invoice to get reimbursed.</t>
  </si>
  <si>
    <t>Reminder e-mails before the start time</t>
  </si>
  <si>
    <t>Organizer (and Host once their e-mail is held)</t>
  </si>
  <si>
    <t>A friendly reminder 36 hours before and a note if the game could not begin.</t>
  </si>
  <si>
    <t>Catches people who forgot.</t>
  </si>
  <si>
    <t>Pay in 2 minutes after the start time</t>
  </si>
  <si>
    <t>Organizer</t>
  </si>
  <si>
    <t>"Pay now. Your game starts 2 minutes after payment."</t>
  </si>
  <si>
    <t>A short, clear promise, even when late.</t>
  </si>
  <si>
    <t>Save GSTIN and organization for the next game</t>
  </si>
  <si>
    <t>Repeat organizers</t>
  </si>
  <si>
    <t>Pre-filled on the next payment.</t>
  </si>
  <si>
    <t>Faster the second time.</t>
  </si>
  <si>
    <t>Low</t>
  </si>
  <si>
    <t>UPI first on the Razorpay window</t>
  </si>
  <si>
    <t>UPI shown before cards.</t>
  </si>
  <si>
    <t>Most Indian buyers prefer UPI. This is a Razorpay display setting.</t>
  </si>
  <si>
    <t>Where it shows</t>
  </si>
  <si>
    <t>What it saves</t>
  </si>
  <si>
    <t>Nine short steps with a progress bar and a Next button</t>
  </si>
  <si>
    <t>Nobody wonders what to do next.</t>
  </si>
  <si>
    <t>Recommended answers pre-selected (Classic prizes, 9 seconds, 1 ticket)</t>
  </si>
  <si>
    <t>Console steps 1 to 4</t>
  </si>
  <si>
    <t>A game can be made in about five minutes.</t>
  </si>
  <si>
    <t>Free AI Assistant: paste the link into any AI chat</t>
  </si>
  <si>
    <t>Top strip</t>
  </si>
  <si>
    <t>The AI builds the draft. The Organizer only publishes and pays.</t>
  </si>
  <si>
    <t>Free demo and a preview/test page for brand moments</t>
  </si>
  <si>
    <t>Demo, Test it buttons</t>
  </si>
  <si>
    <t>See it working before buying; test a video link before the game.</t>
  </si>
  <si>
    <t>Message to copy: guest link + time + one line</t>
  </si>
  <si>
    <t>Invite and share</t>
  </si>
  <si>
    <t>One tap to paste into WhatsApp.</t>
  </si>
  <si>
    <t>Add Hosts and Co-hosts with their private link in one tap</t>
  </si>
  <si>
    <t>Your team</t>
  </si>
  <si>
    <t>Copy a link, send it to that person.</t>
  </si>
  <si>
    <t>Role cards that say exactly what each role can and cannot do</t>
  </si>
  <si>
    <t>No arguments about who can do what.</t>
  </si>
  <si>
    <t>"Check your game" read-back before publish with Change buttons</t>
  </si>
  <si>
    <t>Step 7</t>
  </si>
  <si>
    <t>Catches mistakes without searching.</t>
  </si>
  <si>
    <t>Reuse the people list from an earlier game</t>
  </si>
  <si>
    <t>Guest list</t>
  </si>
  <si>
    <t>Repeat games take a minute.</t>
  </si>
  <si>
    <t>Waiting room to approve unknown people</t>
  </si>
  <si>
    <t>Game day</t>
  </si>
  <si>
    <t>Control over who is in a private game.</t>
  </si>
  <si>
    <t>Remove a person during the game</t>
  </si>
  <si>
    <t>Fix mistakes quickly.</t>
  </si>
  <si>
    <t>Cancel game button</t>
  </si>
  <si>
    <t>Game page</t>
  </si>
  <si>
    <t>Clear away a game that is not needed.</t>
  </si>
  <si>
    <t>Winners list e-mailed to Organizer and Host</t>
  </si>
  <si>
    <t>E-mail</t>
  </si>
  <si>
    <t>Hand over prizes without opening the console.</t>
  </si>
  <si>
    <t>Data-deleted confirmation e-mail with the time</t>
  </si>
  <si>
    <t>Proof for the company's privacy team.</t>
  </si>
  <si>
    <t>Big screen link with instructions in one sentence</t>
  </si>
  <si>
    <t>Show the game to the whole room.</t>
  </si>
  <si>
    <t>Help section with pre-answered questions and back-to-top</t>
  </si>
  <si>
    <t>Bottom of console</t>
  </si>
  <si>
    <t>Fewer support questions.</t>
  </si>
  <si>
    <t>What the guest sees</t>
  </si>
  <si>
    <t>Why it helps</t>
  </si>
  <si>
    <t>Join from one link, no app to install</t>
  </si>
  <si>
    <t>Open the link, enter a mobile number, get a ticket.</t>
  </si>
  <si>
    <t>Anyone can join in seconds on any phone.</t>
  </si>
  <si>
    <t>One ticket on one phone</t>
  </si>
  <si>
    <t>The ticket stays on that phone.</t>
  </si>
  <si>
    <t>Fair: nobody holds many tickets.</t>
  </si>
  <si>
    <t>Clear waiting message before the game</t>
  </si>
  <si>
    <t>Countdown, then "Your game is setting up".</t>
  </si>
  <si>
    <t>Guests know what is happening.</t>
  </si>
  <si>
    <t>Soft message if the Organizer has not started yet</t>
  </si>
  <si>
    <t>"Waiting for the organizer to start." No word about payment.</t>
  </si>
  <si>
    <t>Protects the organizer and keeps guests calm.</t>
  </si>
  <si>
    <t>Big, readable numbers and a marked ticket</t>
  </si>
  <si>
    <t>Called number in large type, numbers lit on the ticket.</t>
  </si>
  <si>
    <t>Easy to follow at a party.</t>
  </si>
  <si>
    <t>Brand breaks with video or message</t>
  </si>
  <si>
    <t>A short break with the organizer's message.</t>
  </si>
  <si>
    <t>Fun and keeps everyone together.</t>
  </si>
  <si>
    <t>Hurray when a prize is won, prize saved on the phone</t>
  </si>
  <si>
    <t>Confetti and "Your prizes".</t>
  </si>
  <si>
    <t>A moment of joy and proof to collect the prize.</t>
  </si>
  <si>
    <t>Invite up to 4 family or colleagues (when switched on)</t>
  </si>
  <si>
    <t>A share card after the ticket opens.</t>
  </si>
  <si>
    <t>Brings more people in with no effort for the Organizer.</t>
  </si>
  <si>
    <t>See the people I invited (first name, last 4 digits)</t>
  </si>
  <si>
    <t>A short list under the invite card.</t>
  </si>
  <si>
    <t>Feels in control. Light on personal data.</t>
  </si>
  <si>
    <t>Remove someone I invited by mistake</t>
  </si>
  <si>
    <t>A Remove button next to each name.</t>
  </si>
  <si>
    <t>Fixes a wrong forward.</t>
  </si>
  <si>
    <t>Move my ticket to a new phone</t>
  </si>
  <si>
    <t>Organizer moves it. Guest opens the link on the new phone.</t>
  </si>
  <si>
    <t>Protects against a lost or broken phone.</t>
  </si>
  <si>
    <t>Short privacy line: name and number erased within 24 hours</t>
  </si>
  <si>
    <t>One calm sentence on the ticket page.</t>
  </si>
  <si>
    <t>Builds trust.</t>
  </si>
  <si>
    <t>Add to home screen (works like an app)</t>
  </si>
  <si>
    <t>A small "Add to your home screen" prompt.</t>
  </si>
  <si>
    <t>Opens in one tap on game day.</t>
  </si>
  <si>
    <t>Wait for approval when the game is by invitation</t>
  </si>
  <si>
    <t>"Your request is sent. The organizer will let you in."</t>
  </si>
  <si>
    <t>Friendly, not a hard "no".</t>
  </si>
  <si>
    <t>When</t>
  </si>
  <si>
    <t>What happens</t>
  </si>
  <si>
    <t>Who is told</t>
  </si>
  <si>
    <t>Draft</t>
  </si>
  <si>
    <t>Organizer builds the game. Free. Not visible to guests. Forgotten after 30 days if never published.</t>
  </si>
  <si>
    <t>Nobody</t>
  </si>
  <si>
    <t>Publish</t>
  </si>
  <si>
    <t>Organizer confirms e-mail and mobile. Guest link goes live.</t>
  </si>
  <si>
    <t>Organizer gets a mail with the pay link</t>
  </si>
  <si>
    <t>Before the start</t>
  </si>
  <si>
    <t>Payment can be made by Organizer, Host or Co-host. One payment is enough.</t>
  </si>
  <si>
    <t>36 hours before: reminder to Organizer</t>
  </si>
  <si>
    <t>45 seconds before the start (unpaid)</t>
  </si>
  <si>
    <t>Game is held. Guests see "waiting for the organizer".</t>
  </si>
  <si>
    <t>Organizer side sees "payment pending"</t>
  </si>
  <si>
    <t>Paid after the start time</t>
  </si>
  <si>
    <t>Game starts about 3 minutes after payment. You asked for 2 minutes.</t>
  </si>
  <si>
    <t>Everyone waiting</t>
  </si>
  <si>
    <t>Game runs</t>
  </si>
  <si>
    <t>Numbers, prizes, brand breaks, lucky draws. Flags locked after the start.</t>
  </si>
  <si>
    <t>Guests</t>
  </si>
  <si>
    <t>Game ends</t>
  </si>
  <si>
    <t>Winners are recorded. Ending is detected by the software.</t>
  </si>
  <si>
    <t>Nobody yet</t>
  </si>
  <si>
    <t>About 3 minutes after the end</t>
  </si>
  <si>
    <t>Report link e-mailed. The report holds every name and number.</t>
  </si>
  <si>
    <t>Organizer only</t>
  </si>
  <si>
    <t>Winners e-mail (within 24 hours)</t>
  </si>
  <si>
    <t>A list of winners and prizes.</t>
  </si>
  <si>
    <t>Organizer and Host</t>
  </si>
  <si>
    <t>About 16 hours after</t>
  </si>
  <si>
    <t>Reminder: the report link closes soon (6 hours before it closes).</t>
  </si>
  <si>
    <t>22 hours after</t>
  </si>
  <si>
    <t>Report link stops working.</t>
  </si>
  <si>
    <t>23 hours after</t>
  </si>
  <si>
    <t>Participants' names, mobile numbers and technical records are erased.</t>
  </si>
  <si>
    <t>At the deletion (within 24 hours)</t>
  </si>
  <si>
    <t>"All personal data has been deleted" e-mail with the time.</t>
  </si>
  <si>
    <t>Within 7 days</t>
  </si>
  <si>
    <t>Backups of the deleted data roll off.</t>
  </si>
  <si>
    <t>365 days after</t>
  </si>
  <si>
    <t>Organizer details, winners record and invoice records are deleted.</t>
  </si>
  <si>
    <t>Question</t>
  </si>
  <si>
    <t>Option A</t>
  </si>
  <si>
    <t>Option B</t>
  </si>
  <si>
    <t>Option C</t>
  </si>
  <si>
    <t>YOUR ANSWER (pick A, B or C)</t>
  </si>
  <si>
    <t>Your note</t>
  </si>
  <si>
    <t>Where does the AI "browser helper" switch sit?</t>
  </si>
  <si>
    <t>A. Inside the AI Assistant strip, Organizer and Host only, off by default</t>
  </si>
  <si>
    <t>B. Turns on by itself when the console is opened from an AI hand-over link</t>
  </si>
  <si>
    <t>C. Remove it</t>
  </si>
  <si>
    <t>A</t>
  </si>
  <si>
    <t>How many people can one Co-host invite?</t>
  </si>
  <si>
    <t>A. Unlimited</t>
  </si>
  <si>
    <t>B. 100 by default, Organizer can change it</t>
  </si>
  <si>
    <t>C. Fixed at 100</t>
  </si>
  <si>
    <t>B</t>
  </si>
  <si>
    <t>Can a Co-host pay?</t>
  </si>
  <si>
    <t>A. Yes</t>
  </si>
  <si>
    <t>B. No</t>
  </si>
  <si>
    <t>C. Yes, but only if the Organizer allows it</t>
  </si>
  <si>
    <t>Should anyone with a special pay link be able to pay (no sign-in)?</t>
  </si>
  <si>
    <t>A. Yes: shows only game name, date, price</t>
  </si>
  <si>
    <t>B. No: only signed-in people</t>
  </si>
  <si>
    <t>C. Yes, but the link expires after 7 days</t>
  </si>
  <si>
    <t>C</t>
  </si>
  <si>
    <t>What do guests see if the game is not yet paid?</t>
  </si>
  <si>
    <t>A. "Waiting for the organizer to start" (no mention of payment)</t>
  </si>
  <si>
    <t>B. "Payment pending"</t>
  </si>
  <si>
    <t>C. Nothing special</t>
  </si>
  <si>
    <t>Can a Host reach the full report with every name and number?</t>
  </si>
  <si>
    <t>A. No: Organizer only</t>
  </si>
  <si>
    <t>B. Yes</t>
  </si>
  <si>
    <t>C. Yes, only if the Organizer allows it</t>
  </si>
  <si>
    <t>Are Co-host details deleted with participants (24 hours)?</t>
  </si>
  <si>
    <t>B. No: kept 365 days like Hosts</t>
  </si>
  <si>
    <t>C. Only if they did not play</t>
  </si>
  <si>
    <t>Who can remove a person from a running game?</t>
  </si>
  <si>
    <t>A. Organizer and Host only</t>
  </si>
  <si>
    <t>B. Also the person who invited them, until the first number</t>
  </si>
  <si>
    <t>C. Nobody once it starts</t>
  </si>
  <si>
    <t>Is mobile number needed for a Host or Co-host who does not play?</t>
  </si>
  <si>
    <t>A. No</t>
  </si>
  <si>
    <t>C. Optional</t>
  </si>
  <si>
    <t>Should the Host's e-mail be required when the Organizer adds a Host?</t>
  </si>
  <si>
    <t>A. Yes: needed for winners and deletion e-mails</t>
  </si>
  <si>
    <t>B. Optional</t>
  </si>
  <si>
    <t>C. No</t>
  </si>
  <si>
    <t>Waiting room: who approves unknown people?</t>
  </si>
  <si>
    <t>A. Organizer and Host</t>
  </si>
  <si>
    <t>B. Organizer only</t>
  </si>
  <si>
    <t>C. Nobody: keep the current "ask the organizer to add your number"</t>
  </si>
  <si>
    <t>Game starts how long after a late payment?</t>
  </si>
  <si>
    <t>A. 2 minutes</t>
  </si>
  <si>
    <t>B. 3 minutes (today)</t>
  </si>
  <si>
    <t>C. 5 minutes</t>
  </si>
  <si>
    <t>Limits</t>
  </si>
  <si>
    <t>Organizers for each game</t>
  </si>
  <si>
    <t>Fixed</t>
  </si>
  <si>
    <t>Hosts for each game (maximum)</t>
  </si>
  <si>
    <t>Built: MAX_HOSTS</t>
  </si>
  <si>
    <t>Co-hosts for each game</t>
  </si>
  <si>
    <t>Built</t>
  </si>
  <si>
    <t>Default people one Co-host may invite</t>
  </si>
  <si>
    <t>Recommended, Organizer can change</t>
  </si>
  <si>
    <t>People one guest may invite (maximum)</t>
  </si>
  <si>
    <t>Built: MAX_INVITES_PER_PERSON</t>
  </si>
  <si>
    <t>Levels of guests who can invite</t>
  </si>
  <si>
    <t>Built: a guest invited by a guest cannot invite</t>
  </si>
  <si>
    <t>Brand moments for each ticket</t>
  </si>
  <si>
    <t>Opening, 3 during, closing</t>
  </si>
  <si>
    <t>Tickets per person (1 or 2)</t>
  </si>
  <si>
    <t>Change to 2 to see the formula below</t>
  </si>
  <si>
    <t>Brand moments allowed for the tickets above</t>
  </si>
  <si>
    <t>Prices (one game, one payment)</t>
  </si>
  <si>
    <t>GST rate</t>
  </si>
  <si>
    <t>Source: packages/shared/src/pricing.ts (18% GST for India)</t>
  </si>
  <si>
    <t>Up to this many guests</t>
  </si>
  <si>
    <t>Software price (Rs)</t>
  </si>
  <si>
    <t>GST (Rs)</t>
  </si>
  <si>
    <t>Total to pay (Rs)</t>
  </si>
  <si>
    <t>Rs per guest (before GST)</t>
  </si>
  <si>
    <t>Blue numbers are values copied from the code. Black cells are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</si>
</sst>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ont>
    <font>
      <b/>
      <sz val="10"/>
      <color rgb="FF0B3D91"/>
      <name val="Arial"/>
    </font>
    <font>
      <sz val="10"/>
      <name val="Arial"/>
    </font>
    <font>
      <b/>
      <sz val="10"/>
      <name val="Arial"/>
    </font>
    <font>
      <b/>
      <sz val="12"/>
      <color rgb="FF0B3D91"/>
      <name val="Arial"/>
    </font>
    <font>
      <sz val="10"/>
      <color rgb="FF0000FF"/>
      <name val="Arial"/>
    </font>
    <font>
      <i/>
      <sz val="9"/>
      <color rgb="FF5A667A"/>
      <name val="Arial"/>
    </font>
    <font>
      <b/>
      <sz val="16"/>
      <color rgb="FF0B3D91"/>
      <name val="Arial"/>
    </font>
    <font>
      <i/>
      <sz val="10"/>
      <name val="Arial"/>
    </font>
  </fonts>
  <fills count="13">
    <fill>
      <patternFill patternType="none"/>
    </fill>
    <fill>
      <patternFill patternType="gray125"/>
    </fill>
    <fill>
      <patternFill patternType="solid">
        <fgColor rgb="FF0B3D91"/>
        <bgColor rgb="FF0B3D91"/>
      </patternFill>
    </fill>
    <fill>
      <patternFill patternType="solid">
        <fgColor rgb="FFE8EEF8"/>
        <bgColor rgb="FFE8EEF8"/>
      </patternFill>
    </fill>
    <fill>
      <patternFill patternType="solid">
        <fgColor rgb="FFE6F4EA"/>
        <bgColor rgb="FFE6F4EA"/>
      </patternFill>
    </fill>
    <fill>
      <patternFill patternType="solid">
        <fgColor rgb="FFF3F4F6"/>
        <bgColor rgb="FFF3F4F6"/>
      </patternFill>
    </fill>
    <fill>
      <patternFill patternType="solid">
        <fgColor rgb="FFD9F0E1"/>
        <bgColor rgb="FFD9F0E1"/>
      </patternFill>
    </fill>
    <fill>
      <patternFill patternType="solid">
        <fgColor rgb="FFF8D0D0"/>
        <bgColor rgb="FFF8D0D0"/>
      </patternFill>
    </fill>
    <fill>
      <patternFill patternType="solid">
        <fgColor rgb="FFFFE0B2"/>
        <bgColor rgb="FFFFE0B2"/>
      </patternFill>
    </fill>
    <fill>
      <patternFill patternType="solid">
        <fgColor rgb="FFFFF3CD"/>
        <bgColor rgb="FFFFF3CD"/>
      </patternFill>
    </fill>
    <fill>
      <patternFill patternType="solid">
        <fgColor rgb="FFFFF8E1"/>
        <bgColor rgb="FFFFF8E1"/>
      </patternFill>
    </fill>
    <fill>
      <patternFill patternType="solid">
        <fgColor rgb="FFFFFF00"/>
        <bgColor rgb="FFFFFF00"/>
      </patternFill>
    </fill>
    <fill>
      <patternFill patternType="solid">
        <fgColor rgb="FFFFFF99"/>
        <bgColor rgb="FFFFFF99"/>
      </patternFill>
    </fill>
  </fills>
  <borders count="4">
    <border>
      <left/>
      <right/>
      <top/>
      <bottom/>
      <diagonal/>
    </border>
    <border>
      <left style="thin">
        <color rgb="FFD5DCE8"/>
      </left>
      <right style="thin">
        <color rgb="FFD5DCE8"/>
      </right>
      <top style="thin">
        <color rgb="FFD5DCE8"/>
      </top>
      <bottom style="thin">
        <color rgb="FFD5DCE8"/>
      </bottom>
      <diagonal/>
    </border>
    <border>
      <left/>
      <right/>
      <top style="thin">
        <color rgb="FFD5DCE8"/>
      </top>
      <bottom style="thin">
        <color rgb="FFD5DCE8"/>
      </bottom>
      <diagonal/>
    </border>
    <border>
      <left/>
      <right style="thin">
        <color rgb="FFD5DCE8"/>
      </right>
      <top style="thin">
        <color rgb="FFD5DCE8"/>
      </top>
      <bottom style="thin">
        <color rgb="FFD5DCE8"/>
      </bottom>
      <diagonal/>
    </border>
  </borders>
  <cellStyleXfs count="1">
    <xf numFmtId="0" fontId="0" fillId="0" borderId="0"/>
  </cellStyleXfs>
  <cellXfs count="35">
    <xf numFmtId="0" fontId="0" fillId="0" borderId="0" xfId="0"/>
    <xf numFmtId="0" fontId="8" fillId="0" borderId="0" xfId="0" applyFont="1"/>
    <xf numFmtId="0" fontId="9" fillId="0" borderId="0" xfId="0" applyFont="1"/>
    <xf numFmtId="0" fontId="4" fillId="0" borderId="0" xfId="0" applyFont="1"/>
    <xf numFmtId="0" fontId="3" fillId="0" borderId="0" xfId="0" applyFont="1" applyAlignment="1">
      <alignment vertical="top" wrapText="1"/>
    </xf>
    <xf numFmtId="0" fontId="5" fillId="0" borderId="0" xfId="0" applyFont="1"/>
    <xf numFmtId="0" fontId="3" fillId="0" borderId="0" xfId="0" applyFont="1"/>
    <xf numFmtId="0" fontId="4" fillId="6" borderId="0" xfId="0" applyFont="1" applyFill="1" applyAlignment="1">
      <alignment horizontal="left"/>
    </xf>
    <xf numFmtId="0" fontId="4" fillId="9" borderId="0" xfId="0" applyFont="1" applyFill="1" applyAlignment="1">
      <alignment horizontal="left"/>
    </xf>
    <xf numFmtId="0" fontId="4" fillId="8" borderId="0" xfId="0" applyFont="1" applyFill="1" applyAlignment="1">
      <alignment horizontal="left"/>
    </xf>
    <xf numFmtId="0" fontId="4" fillId="7" borderId="0" xfId="0" applyFont="1" applyFill="1" applyAlignment="1">
      <alignment horizontal="left"/>
    </xf>
    <xf numFmtId="0" fontId="4" fillId="0" borderId="0" xfId="0" applyFont="1" applyAlignment="1">
      <alignment horizontal="left"/>
    </xf>
    <xf numFmtId="0" fontId="1"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0" borderId="1" xfId="0" applyFont="1" applyBorder="1" applyAlignment="1">
      <alignment vertical="top" wrapText="1"/>
    </xf>
    <xf numFmtId="0" fontId="4" fillId="11" borderId="1" xfId="0" applyFont="1" applyFill="1" applyBorder="1" applyAlignment="1">
      <alignment horizontal="center" vertical="top" wrapText="1"/>
    </xf>
    <xf numFmtId="0" fontId="3" fillId="12" borderId="1" xfId="0" applyFont="1" applyFill="1" applyBorder="1" applyAlignment="1">
      <alignment vertical="top" wrapText="1"/>
    </xf>
    <xf numFmtId="0" fontId="6" fillId="0" borderId="0" xfId="0" applyFont="1" applyAlignment="1">
      <alignment horizontal="center"/>
    </xf>
    <xf numFmtId="0" fontId="7" fillId="0" borderId="0" xfId="0" applyFont="1"/>
    <xf numFmtId="0" fontId="4" fillId="0" borderId="0" xfId="0" applyFont="1" applyAlignment="1">
      <alignment horizontal="center"/>
    </xf>
    <xf numFmtId="9" fontId="6" fillId="0" borderId="0" xfId="0" applyNumberFormat="1" applyFont="1"/>
    <xf numFmtId="3" fontId="6" fillId="0" borderId="1" xfId="0" applyNumberFormat="1" applyFont="1" applyBorder="1" applyAlignment="1">
      <alignment horizontal="center"/>
    </xf>
    <xf numFmtId="4" fontId="3" fillId="0" borderId="1" xfId="0" applyNumberFormat="1" applyFont="1" applyBorder="1" applyAlignment="1">
      <alignment horizontal="center"/>
    </xf>
    <xf numFmtId="0" fontId="2" fillId="3" borderId="1" xfId="0" applyFont="1" applyFill="1" applyBorder="1"/>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3D91"/>
    <pageSetUpPr fitToPage="1"/>
  </sheetPr>
  <dimension ref="A1:B26"/>
  <sheetViews>
    <sheetView tabSelected="1" workbookViewId="0"/>
  </sheetViews>
  <sheetFormatPr defaultRowHeight="14.5" x14ac:dyDescent="0.35"/>
  <cols>
    <col min="1" max="1" width="34" customWidth="1"/>
    <col min="2" max="2" width="110" customWidth="1"/>
  </cols>
  <sheetData>
    <row r="1" spans="1:2" ht="20" x14ac:dyDescent="0.4">
      <c r="A1" s="1" t="s">
        <v>0</v>
      </c>
    </row>
    <row r="2" spans="1:2" x14ac:dyDescent="0.35">
      <c r="A2" s="2" t="s">
        <v>1</v>
      </c>
    </row>
    <row r="4" spans="1:2" ht="48" customHeight="1" x14ac:dyDescent="0.35">
      <c r="A4" s="3" t="s">
        <v>2</v>
      </c>
      <c r="B4" s="4" t="s">
        <v>3</v>
      </c>
    </row>
    <row r="5" spans="1:2" ht="48" customHeight="1" x14ac:dyDescent="0.35">
      <c r="A5" s="3" t="s">
        <v>4</v>
      </c>
      <c r="B5" s="4" t="s">
        <v>5</v>
      </c>
    </row>
    <row r="6" spans="1:2" ht="48" customHeight="1" x14ac:dyDescent="0.35">
      <c r="A6" s="3" t="s">
        <v>6</v>
      </c>
      <c r="B6" s="4" t="s">
        <v>7</v>
      </c>
    </row>
    <row r="7" spans="1:2" ht="48" customHeight="1" x14ac:dyDescent="0.35">
      <c r="A7" s="3" t="s">
        <v>8</v>
      </c>
      <c r="B7" s="4" t="s">
        <v>9</v>
      </c>
    </row>
    <row r="9" spans="1:2" ht="15.5" x14ac:dyDescent="0.35">
      <c r="A9" s="5" t="s">
        <v>10</v>
      </c>
    </row>
    <row r="10" spans="1:2" x14ac:dyDescent="0.35">
      <c r="A10" s="6" t="s">
        <v>11</v>
      </c>
      <c r="B10" s="7">
        <f>COUNTIF('Role matrix'!J2:J45,"OK")</f>
        <v>18</v>
      </c>
    </row>
    <row r="11" spans="1:2" x14ac:dyDescent="0.35">
      <c r="A11" s="6" t="s">
        <v>12</v>
      </c>
      <c r="B11" s="8">
        <f>COUNTIF('Role matrix'!J2:J45,"Small change")</f>
        <v>5</v>
      </c>
    </row>
    <row r="12" spans="1:2" x14ac:dyDescent="0.35">
      <c r="A12" s="6" t="s">
        <v>13</v>
      </c>
      <c r="B12" s="9">
        <f>COUNTIF('Role matrix'!J2:J45,"Build")</f>
        <v>8</v>
      </c>
    </row>
    <row r="13" spans="1:2" x14ac:dyDescent="0.35">
      <c r="A13" s="6" t="s">
        <v>14</v>
      </c>
      <c r="B13" s="10">
        <f>COUNTIF('Role matrix'!J2:J45,"Decide")</f>
        <v>6</v>
      </c>
    </row>
    <row r="14" spans="1:2" x14ac:dyDescent="0.35">
      <c r="A14" s="3" t="s">
        <v>15</v>
      </c>
      <c r="B14" s="11">
        <f>SUM(B10:B13)</f>
        <v>37</v>
      </c>
    </row>
    <row r="16" spans="1:2" ht="15.5" x14ac:dyDescent="0.35">
      <c r="A16" s="5" t="s">
        <v>16</v>
      </c>
    </row>
    <row r="17" spans="1:2" x14ac:dyDescent="0.35">
      <c r="A17" s="3" t="s">
        <v>17</v>
      </c>
      <c r="B17" s="6" t="s">
        <v>18</v>
      </c>
    </row>
    <row r="18" spans="1:2" x14ac:dyDescent="0.35">
      <c r="A18" s="3" t="s">
        <v>19</v>
      </c>
      <c r="B18" s="6" t="s">
        <v>20</v>
      </c>
    </row>
    <row r="19" spans="1:2" x14ac:dyDescent="0.35">
      <c r="A19" s="3" t="s">
        <v>21</v>
      </c>
      <c r="B19" s="6" t="s">
        <v>22</v>
      </c>
    </row>
    <row r="20" spans="1:2" x14ac:dyDescent="0.35">
      <c r="A20" s="3" t="s">
        <v>23</v>
      </c>
      <c r="B20" s="6" t="s">
        <v>24</v>
      </c>
    </row>
    <row r="21" spans="1:2" x14ac:dyDescent="0.35">
      <c r="A21" s="3" t="s">
        <v>25</v>
      </c>
      <c r="B21" s="6" t="s">
        <v>26</v>
      </c>
    </row>
    <row r="22" spans="1:2" x14ac:dyDescent="0.35">
      <c r="A22" s="3" t="s">
        <v>27</v>
      </c>
      <c r="B22" s="6" t="s">
        <v>28</v>
      </c>
    </row>
    <row r="23" spans="1:2" x14ac:dyDescent="0.35">
      <c r="A23" s="3" t="s">
        <v>29</v>
      </c>
      <c r="B23" s="6" t="s">
        <v>30</v>
      </c>
    </row>
    <row r="24" spans="1:2" x14ac:dyDescent="0.35">
      <c r="A24" s="3" t="s">
        <v>31</v>
      </c>
      <c r="B24" s="6" t="s">
        <v>32</v>
      </c>
    </row>
    <row r="26" spans="1:2" ht="40" customHeight="1" x14ac:dyDescent="0.35">
      <c r="A26" s="5" t="s">
        <v>33</v>
      </c>
      <c r="B26" s="4" t="s">
        <v>34</v>
      </c>
    </row>
  </sheetData>
  <pageMargins left="0.4" right="0.4"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3D91"/>
    <pageSetUpPr fitToPage="1"/>
  </sheetPr>
  <dimension ref="A1:J45"/>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34" customWidth="1"/>
    <col min="3" max="4" width="15" customWidth="1"/>
    <col min="5" max="7" width="20" customWidth="1"/>
    <col min="8" max="9" width="46" customWidth="1"/>
    <col min="10" max="10" width="13" customWidth="1"/>
  </cols>
  <sheetData>
    <row r="1" spans="1:10" ht="52" x14ac:dyDescent="0.35">
      <c r="A1" s="12" t="s">
        <v>35</v>
      </c>
      <c r="B1" s="12" t="s">
        <v>36</v>
      </c>
      <c r="C1" s="12" t="s">
        <v>37</v>
      </c>
      <c r="D1" s="12" t="s">
        <v>38</v>
      </c>
      <c r="E1" s="12" t="s">
        <v>39</v>
      </c>
      <c r="F1" s="12" t="s">
        <v>40</v>
      </c>
      <c r="G1" s="12" t="s">
        <v>41</v>
      </c>
      <c r="H1" s="12" t="s">
        <v>42</v>
      </c>
      <c r="I1" s="12" t="s">
        <v>43</v>
      </c>
      <c r="J1" s="12" t="s">
        <v>44</v>
      </c>
    </row>
    <row r="2" spans="1:10" ht="30" customHeight="1" x14ac:dyDescent="0.35">
      <c r="A2" s="32" t="s">
        <v>45</v>
      </c>
      <c r="B2" s="33"/>
      <c r="C2" s="33"/>
      <c r="D2" s="33"/>
      <c r="E2" s="33"/>
      <c r="F2" s="33"/>
      <c r="G2" s="33"/>
      <c r="H2" s="33"/>
      <c r="I2" s="33"/>
      <c r="J2" s="34"/>
    </row>
    <row r="3" spans="1:10" ht="37.5" x14ac:dyDescent="0.35">
      <c r="A3" s="13">
        <v>1</v>
      </c>
      <c r="B3" s="14" t="s">
        <v>46</v>
      </c>
      <c r="C3" s="15" t="s">
        <v>47</v>
      </c>
      <c r="D3" s="15" t="s">
        <v>47</v>
      </c>
      <c r="E3" s="16" t="s">
        <v>48</v>
      </c>
      <c r="F3" s="16" t="s">
        <v>49</v>
      </c>
      <c r="G3" s="16" t="s">
        <v>49</v>
      </c>
      <c r="H3" s="14" t="s">
        <v>50</v>
      </c>
      <c r="I3" s="14" t="s">
        <v>51</v>
      </c>
      <c r="J3" s="17" t="s">
        <v>52</v>
      </c>
    </row>
    <row r="4" spans="1:10" ht="37.5" x14ac:dyDescent="0.35">
      <c r="A4" s="13">
        <v>2</v>
      </c>
      <c r="B4" s="14" t="s">
        <v>53</v>
      </c>
      <c r="C4" s="15" t="s">
        <v>54</v>
      </c>
      <c r="D4" s="15" t="s">
        <v>54</v>
      </c>
      <c r="E4" s="15" t="s">
        <v>55</v>
      </c>
      <c r="F4" s="15" t="s">
        <v>55</v>
      </c>
      <c r="G4" s="16" t="s">
        <v>49</v>
      </c>
      <c r="H4" s="14" t="s">
        <v>56</v>
      </c>
      <c r="I4" s="14" t="s">
        <v>57</v>
      </c>
      <c r="J4" s="18" t="s">
        <v>58</v>
      </c>
    </row>
    <row r="5" spans="1:10" ht="37.5" x14ac:dyDescent="0.35">
      <c r="A5" s="13">
        <v>3</v>
      </c>
      <c r="B5" s="14" t="s">
        <v>59</v>
      </c>
      <c r="C5" s="15" t="s">
        <v>60</v>
      </c>
      <c r="D5" s="15" t="s">
        <v>60</v>
      </c>
      <c r="E5" s="15" t="s">
        <v>61</v>
      </c>
      <c r="F5" s="15" t="s">
        <v>61</v>
      </c>
      <c r="G5" s="16" t="s">
        <v>49</v>
      </c>
      <c r="H5" s="14" t="s">
        <v>62</v>
      </c>
      <c r="I5" s="14" t="s">
        <v>63</v>
      </c>
      <c r="J5" s="19" t="s">
        <v>64</v>
      </c>
    </row>
    <row r="6" spans="1:10" ht="37.5" x14ac:dyDescent="0.35">
      <c r="A6" s="13">
        <v>4</v>
      </c>
      <c r="B6" s="14" t="s">
        <v>65</v>
      </c>
      <c r="C6" s="15" t="s">
        <v>66</v>
      </c>
      <c r="D6" s="15" t="s">
        <v>66</v>
      </c>
      <c r="E6" s="15" t="s">
        <v>55</v>
      </c>
      <c r="F6" s="15" t="s">
        <v>55</v>
      </c>
      <c r="G6" s="16" t="s">
        <v>49</v>
      </c>
      <c r="H6" s="14" t="s">
        <v>67</v>
      </c>
      <c r="I6" s="14" t="s">
        <v>68</v>
      </c>
      <c r="J6" s="19" t="s">
        <v>64</v>
      </c>
    </row>
    <row r="7" spans="1:10" ht="30" customHeight="1" x14ac:dyDescent="0.35">
      <c r="A7" s="13">
        <v>5</v>
      </c>
      <c r="B7" s="14" t="s">
        <v>69</v>
      </c>
      <c r="C7" s="15" t="s">
        <v>47</v>
      </c>
      <c r="D7" s="15" t="s">
        <v>47</v>
      </c>
      <c r="E7" s="16" t="s">
        <v>49</v>
      </c>
      <c r="F7" s="16" t="s">
        <v>49</v>
      </c>
      <c r="G7" s="16" t="s">
        <v>49</v>
      </c>
      <c r="H7" s="14" t="s">
        <v>70</v>
      </c>
      <c r="I7" s="14" t="s">
        <v>71</v>
      </c>
      <c r="J7" s="17" t="s">
        <v>52</v>
      </c>
    </row>
    <row r="8" spans="1:10" ht="37.5" x14ac:dyDescent="0.35">
      <c r="A8" s="13">
        <v>6</v>
      </c>
      <c r="B8" s="14" t="s">
        <v>72</v>
      </c>
      <c r="C8" s="15" t="s">
        <v>47</v>
      </c>
      <c r="D8" s="15" t="s">
        <v>47</v>
      </c>
      <c r="E8" s="16" t="s">
        <v>49</v>
      </c>
      <c r="F8" s="16" t="s">
        <v>49</v>
      </c>
      <c r="G8" s="16" t="s">
        <v>49</v>
      </c>
      <c r="H8" s="14" t="s">
        <v>73</v>
      </c>
      <c r="I8" s="14" t="s">
        <v>74</v>
      </c>
      <c r="J8" s="17" t="s">
        <v>52</v>
      </c>
    </row>
    <row r="9" spans="1:10" ht="37.5" x14ac:dyDescent="0.35">
      <c r="A9" s="13">
        <v>7</v>
      </c>
      <c r="B9" s="14" t="s">
        <v>75</v>
      </c>
      <c r="C9" s="15" t="s">
        <v>47</v>
      </c>
      <c r="D9" s="15" t="s">
        <v>47</v>
      </c>
      <c r="E9" s="16" t="s">
        <v>49</v>
      </c>
      <c r="F9" s="16" t="s">
        <v>49</v>
      </c>
      <c r="G9" s="16" t="s">
        <v>49</v>
      </c>
      <c r="H9" s="14" t="s">
        <v>76</v>
      </c>
      <c r="I9" s="14" t="s">
        <v>77</v>
      </c>
      <c r="J9" s="19" t="s">
        <v>64</v>
      </c>
    </row>
    <row r="10" spans="1:10" ht="30" customHeight="1" x14ac:dyDescent="0.35">
      <c r="A10" s="13">
        <v>8</v>
      </c>
      <c r="B10" s="14" t="s">
        <v>78</v>
      </c>
      <c r="C10" s="15" t="s">
        <v>79</v>
      </c>
      <c r="D10" s="16" t="s">
        <v>49</v>
      </c>
      <c r="E10" s="16" t="s">
        <v>49</v>
      </c>
      <c r="F10" s="16" t="s">
        <v>49</v>
      </c>
      <c r="G10" s="16" t="s">
        <v>49</v>
      </c>
      <c r="H10" s="14" t="s">
        <v>80</v>
      </c>
      <c r="I10" s="14" t="s">
        <v>81</v>
      </c>
      <c r="J10" s="17" t="s">
        <v>52</v>
      </c>
    </row>
    <row r="11" spans="1:10" ht="30" customHeight="1" x14ac:dyDescent="0.35">
      <c r="A11" s="13">
        <v>9</v>
      </c>
      <c r="B11" s="14" t="s">
        <v>82</v>
      </c>
      <c r="C11" s="15" t="s">
        <v>47</v>
      </c>
      <c r="D11" s="15" t="s">
        <v>47</v>
      </c>
      <c r="E11" s="16" t="s">
        <v>49</v>
      </c>
      <c r="F11" s="16" t="s">
        <v>49</v>
      </c>
      <c r="G11" s="16" t="s">
        <v>49</v>
      </c>
      <c r="H11" s="14" t="s">
        <v>83</v>
      </c>
      <c r="I11" s="14" t="s">
        <v>84</v>
      </c>
      <c r="J11" s="17" t="s">
        <v>52</v>
      </c>
    </row>
    <row r="12" spans="1:10" ht="37.5" x14ac:dyDescent="0.35">
      <c r="A12" s="13">
        <v>10</v>
      </c>
      <c r="B12" s="14" t="s">
        <v>85</v>
      </c>
      <c r="C12" s="15" t="s">
        <v>47</v>
      </c>
      <c r="D12" s="16" t="s">
        <v>49</v>
      </c>
      <c r="E12" s="16" t="s">
        <v>49</v>
      </c>
      <c r="F12" s="16" t="s">
        <v>49</v>
      </c>
      <c r="G12" s="16" t="s">
        <v>49</v>
      </c>
      <c r="H12" s="14" t="s">
        <v>86</v>
      </c>
      <c r="I12" s="14" t="s">
        <v>87</v>
      </c>
      <c r="J12" s="17" t="s">
        <v>52</v>
      </c>
    </row>
    <row r="13" spans="1:10" ht="30" customHeight="1" x14ac:dyDescent="0.35">
      <c r="A13" s="13">
        <v>11</v>
      </c>
      <c r="B13" s="14" t="s">
        <v>88</v>
      </c>
      <c r="C13" s="15" t="s">
        <v>47</v>
      </c>
      <c r="D13" s="15" t="s">
        <v>47</v>
      </c>
      <c r="E13" s="15" t="s">
        <v>47</v>
      </c>
      <c r="F13" s="16" t="s">
        <v>89</v>
      </c>
      <c r="G13" s="16" t="s">
        <v>89</v>
      </c>
      <c r="H13" s="14" t="s">
        <v>90</v>
      </c>
      <c r="I13" s="14" t="s">
        <v>91</v>
      </c>
      <c r="J13" s="17" t="s">
        <v>52</v>
      </c>
    </row>
    <row r="14" spans="1:10" ht="30" customHeight="1" x14ac:dyDescent="0.35">
      <c r="A14" s="32" t="s">
        <v>92</v>
      </c>
      <c r="B14" s="33"/>
      <c r="C14" s="33"/>
      <c r="D14" s="33"/>
      <c r="E14" s="33"/>
      <c r="F14" s="33"/>
      <c r="G14" s="33"/>
      <c r="H14" s="33"/>
      <c r="I14" s="33"/>
      <c r="J14" s="34"/>
    </row>
    <row r="15" spans="1:10" ht="37.5" x14ac:dyDescent="0.35">
      <c r="A15" s="13">
        <v>12</v>
      </c>
      <c r="B15" s="14" t="s">
        <v>93</v>
      </c>
      <c r="C15" s="15" t="s">
        <v>47</v>
      </c>
      <c r="D15" s="15" t="s">
        <v>94</v>
      </c>
      <c r="E15" s="16" t="s">
        <v>49</v>
      </c>
      <c r="F15" s="16" t="s">
        <v>49</v>
      </c>
      <c r="G15" s="16" t="s">
        <v>49</v>
      </c>
      <c r="H15" s="14" t="s">
        <v>95</v>
      </c>
      <c r="I15" s="14" t="s">
        <v>96</v>
      </c>
      <c r="J15" s="20" t="s">
        <v>97</v>
      </c>
    </row>
    <row r="16" spans="1:10" ht="30" customHeight="1" x14ac:dyDescent="0.35">
      <c r="A16" s="13">
        <v>13</v>
      </c>
      <c r="B16" s="14" t="s">
        <v>98</v>
      </c>
      <c r="C16" s="15" t="s">
        <v>47</v>
      </c>
      <c r="D16" s="15" t="s">
        <v>47</v>
      </c>
      <c r="E16" s="16" t="s">
        <v>49</v>
      </c>
      <c r="F16" s="16" t="s">
        <v>49</v>
      </c>
      <c r="G16" s="16" t="s">
        <v>49</v>
      </c>
      <c r="H16" s="14" t="s">
        <v>99</v>
      </c>
      <c r="I16" s="14" t="s">
        <v>100</v>
      </c>
      <c r="J16" s="18" t="s">
        <v>58</v>
      </c>
    </row>
    <row r="17" spans="1:10" ht="30" customHeight="1" x14ac:dyDescent="0.35">
      <c r="A17" s="32" t="s">
        <v>101</v>
      </c>
      <c r="B17" s="33"/>
      <c r="C17" s="33"/>
      <c r="D17" s="33"/>
      <c r="E17" s="33"/>
      <c r="F17" s="33"/>
      <c r="G17" s="33"/>
      <c r="H17" s="33"/>
      <c r="I17" s="33"/>
      <c r="J17" s="34"/>
    </row>
    <row r="18" spans="1:10" ht="37.5" x14ac:dyDescent="0.35">
      <c r="A18" s="13">
        <v>14</v>
      </c>
      <c r="B18" s="14" t="s">
        <v>102</v>
      </c>
      <c r="C18" s="21" t="s">
        <v>103</v>
      </c>
      <c r="D18" s="21" t="s">
        <v>104</v>
      </c>
      <c r="E18" s="15" t="s">
        <v>105</v>
      </c>
      <c r="F18" s="15" t="s">
        <v>106</v>
      </c>
      <c r="G18" s="15" t="s">
        <v>106</v>
      </c>
      <c r="H18" s="14" t="s">
        <v>107</v>
      </c>
      <c r="I18" s="14" t="s">
        <v>108</v>
      </c>
      <c r="J18" s="17" t="s">
        <v>52</v>
      </c>
    </row>
    <row r="19" spans="1:10" ht="50" x14ac:dyDescent="0.35">
      <c r="A19" s="13">
        <v>15</v>
      </c>
      <c r="B19" s="14" t="s">
        <v>109</v>
      </c>
      <c r="C19" s="15" t="s">
        <v>105</v>
      </c>
      <c r="D19" s="15" t="s">
        <v>105</v>
      </c>
      <c r="E19" s="21" t="s">
        <v>110</v>
      </c>
      <c r="F19" s="21" t="s">
        <v>111</v>
      </c>
      <c r="G19" s="16" t="s">
        <v>112</v>
      </c>
      <c r="H19" s="14" t="s">
        <v>113</v>
      </c>
      <c r="I19" s="14" t="s">
        <v>114</v>
      </c>
      <c r="J19" s="20" t="s">
        <v>97</v>
      </c>
    </row>
    <row r="20" spans="1:10" ht="30" customHeight="1" x14ac:dyDescent="0.35">
      <c r="A20" s="13">
        <v>16</v>
      </c>
      <c r="B20" s="14" t="s">
        <v>115</v>
      </c>
      <c r="C20" s="15" t="s">
        <v>47</v>
      </c>
      <c r="D20" s="15" t="s">
        <v>47</v>
      </c>
      <c r="E20" s="16" t="s">
        <v>116</v>
      </c>
      <c r="F20" s="16" t="s">
        <v>49</v>
      </c>
      <c r="G20" s="16" t="s">
        <v>49</v>
      </c>
      <c r="H20" s="14" t="s">
        <v>117</v>
      </c>
      <c r="I20" s="14" t="s">
        <v>118</v>
      </c>
      <c r="J20" s="17" t="s">
        <v>52</v>
      </c>
    </row>
    <row r="21" spans="1:10" ht="30" customHeight="1" x14ac:dyDescent="0.35">
      <c r="A21" s="13">
        <v>17</v>
      </c>
      <c r="B21" s="14" t="s">
        <v>119</v>
      </c>
      <c r="C21" s="15" t="s">
        <v>47</v>
      </c>
      <c r="D21" s="15" t="s">
        <v>47</v>
      </c>
      <c r="E21" s="15" t="s">
        <v>120</v>
      </c>
      <c r="F21" s="15" t="s">
        <v>120</v>
      </c>
      <c r="G21" s="16" t="s">
        <v>49</v>
      </c>
      <c r="H21" s="14" t="s">
        <v>121</v>
      </c>
      <c r="I21" s="14" t="s">
        <v>122</v>
      </c>
      <c r="J21" s="17" t="s">
        <v>52</v>
      </c>
    </row>
    <row r="22" spans="1:10" ht="30" customHeight="1" x14ac:dyDescent="0.35">
      <c r="A22" s="32" t="s">
        <v>123</v>
      </c>
      <c r="B22" s="33"/>
      <c r="C22" s="33"/>
      <c r="D22" s="33"/>
      <c r="E22" s="33"/>
      <c r="F22" s="33"/>
      <c r="G22" s="33"/>
      <c r="H22" s="33"/>
      <c r="I22" s="33"/>
      <c r="J22" s="34"/>
    </row>
    <row r="23" spans="1:10" ht="50" x14ac:dyDescent="0.35">
      <c r="A23" s="13">
        <v>18</v>
      </c>
      <c r="B23" s="14" t="s">
        <v>124</v>
      </c>
      <c r="C23" s="15" t="s">
        <v>47</v>
      </c>
      <c r="D23" s="15" t="s">
        <v>47</v>
      </c>
      <c r="E23" s="15" t="s">
        <v>125</v>
      </c>
      <c r="F23" s="16" t="s">
        <v>49</v>
      </c>
      <c r="G23" s="16" t="s">
        <v>49</v>
      </c>
      <c r="H23" s="14" t="s">
        <v>126</v>
      </c>
      <c r="I23" s="14" t="s">
        <v>127</v>
      </c>
      <c r="J23" s="17" t="s">
        <v>52</v>
      </c>
    </row>
    <row r="24" spans="1:10" ht="30" customHeight="1" x14ac:dyDescent="0.35">
      <c r="A24" s="13">
        <v>19</v>
      </c>
      <c r="B24" s="14" t="s">
        <v>128</v>
      </c>
      <c r="C24" s="15" t="s">
        <v>47</v>
      </c>
      <c r="D24" s="15" t="s">
        <v>47</v>
      </c>
      <c r="E24" s="15" t="s">
        <v>47</v>
      </c>
      <c r="F24" s="16" t="s">
        <v>49</v>
      </c>
      <c r="G24" s="16" t="s">
        <v>49</v>
      </c>
      <c r="H24" s="14" t="s">
        <v>129</v>
      </c>
      <c r="I24" s="14" t="s">
        <v>130</v>
      </c>
      <c r="J24" s="20" t="s">
        <v>97</v>
      </c>
    </row>
    <row r="25" spans="1:10" ht="50" x14ac:dyDescent="0.35">
      <c r="A25" s="13">
        <v>20</v>
      </c>
      <c r="B25" s="14" t="s">
        <v>131</v>
      </c>
      <c r="C25" s="15" t="s">
        <v>47</v>
      </c>
      <c r="D25" s="15" t="s">
        <v>47</v>
      </c>
      <c r="E25" s="15" t="s">
        <v>47</v>
      </c>
      <c r="F25" s="16" t="s">
        <v>49</v>
      </c>
      <c r="G25" s="16" t="s">
        <v>49</v>
      </c>
      <c r="H25" s="14" t="s">
        <v>132</v>
      </c>
      <c r="I25" s="14" t="s">
        <v>133</v>
      </c>
      <c r="J25" s="19" t="s">
        <v>64</v>
      </c>
    </row>
    <row r="26" spans="1:10" ht="50" x14ac:dyDescent="0.35">
      <c r="A26" s="13">
        <v>21</v>
      </c>
      <c r="B26" s="14" t="s">
        <v>134</v>
      </c>
      <c r="C26" s="15" t="s">
        <v>47</v>
      </c>
      <c r="D26" s="15" t="s">
        <v>47</v>
      </c>
      <c r="E26" s="15" t="s">
        <v>47</v>
      </c>
      <c r="F26" s="21" t="s">
        <v>135</v>
      </c>
      <c r="G26" s="21" t="s">
        <v>136</v>
      </c>
      <c r="H26" s="14" t="s">
        <v>137</v>
      </c>
      <c r="I26" s="14" t="s">
        <v>138</v>
      </c>
      <c r="J26" s="18" t="s">
        <v>58</v>
      </c>
    </row>
    <row r="27" spans="1:10" ht="30" customHeight="1" x14ac:dyDescent="0.35">
      <c r="A27" s="13">
        <v>22</v>
      </c>
      <c r="B27" s="14" t="s">
        <v>139</v>
      </c>
      <c r="C27" s="15" t="s">
        <v>47</v>
      </c>
      <c r="D27" s="15" t="s">
        <v>47</v>
      </c>
      <c r="E27" s="15" t="s">
        <v>47</v>
      </c>
      <c r="F27" s="21" t="s">
        <v>140</v>
      </c>
      <c r="G27" s="21" t="s">
        <v>140</v>
      </c>
      <c r="H27" s="14" t="s">
        <v>141</v>
      </c>
      <c r="I27" s="14" t="s">
        <v>142</v>
      </c>
      <c r="J27" s="17" t="s">
        <v>52</v>
      </c>
    </row>
    <row r="28" spans="1:10" ht="37.5" x14ac:dyDescent="0.35">
      <c r="A28" s="13">
        <v>23</v>
      </c>
      <c r="B28" s="14" t="s">
        <v>143</v>
      </c>
      <c r="C28" s="15" t="s">
        <v>47</v>
      </c>
      <c r="D28" s="15" t="s">
        <v>47</v>
      </c>
      <c r="E28" s="15" t="s">
        <v>47</v>
      </c>
      <c r="F28" s="21" t="s">
        <v>140</v>
      </c>
      <c r="G28" s="21" t="s">
        <v>140</v>
      </c>
      <c r="H28" s="14" t="s">
        <v>144</v>
      </c>
      <c r="I28" s="14" t="s">
        <v>145</v>
      </c>
      <c r="J28" s="20" t="s">
        <v>97</v>
      </c>
    </row>
    <row r="29" spans="1:10" ht="30" customHeight="1" x14ac:dyDescent="0.35">
      <c r="A29" s="13">
        <v>24</v>
      </c>
      <c r="B29" s="14" t="s">
        <v>146</v>
      </c>
      <c r="C29" s="15" t="s">
        <v>47</v>
      </c>
      <c r="D29" s="15" t="s">
        <v>47</v>
      </c>
      <c r="E29" s="15" t="s">
        <v>47</v>
      </c>
      <c r="F29" s="16" t="s">
        <v>49</v>
      </c>
      <c r="G29" s="16" t="s">
        <v>49</v>
      </c>
      <c r="H29" s="14" t="s">
        <v>147</v>
      </c>
      <c r="I29" s="14" t="s">
        <v>148</v>
      </c>
      <c r="J29" s="17" t="s">
        <v>52</v>
      </c>
    </row>
    <row r="30" spans="1:10" ht="30" customHeight="1" x14ac:dyDescent="0.35">
      <c r="A30" s="13">
        <v>25</v>
      </c>
      <c r="B30" s="14" t="s">
        <v>149</v>
      </c>
      <c r="C30" s="21" t="s">
        <v>150</v>
      </c>
      <c r="D30" s="21" t="s">
        <v>150</v>
      </c>
      <c r="E30" s="21" t="s">
        <v>150</v>
      </c>
      <c r="F30" s="21" t="s">
        <v>140</v>
      </c>
      <c r="G30" s="21" t="s">
        <v>140</v>
      </c>
      <c r="H30" s="14" t="s">
        <v>151</v>
      </c>
      <c r="I30" s="14" t="s">
        <v>152</v>
      </c>
      <c r="J30" s="17" t="s">
        <v>52</v>
      </c>
    </row>
    <row r="31" spans="1:10" ht="30" customHeight="1" x14ac:dyDescent="0.35">
      <c r="A31" s="32" t="s">
        <v>153</v>
      </c>
      <c r="B31" s="33"/>
      <c r="C31" s="33"/>
      <c r="D31" s="33"/>
      <c r="E31" s="33"/>
      <c r="F31" s="33"/>
      <c r="G31" s="33"/>
      <c r="H31" s="33"/>
      <c r="I31" s="33"/>
      <c r="J31" s="34"/>
    </row>
    <row r="32" spans="1:10" ht="37.5" x14ac:dyDescent="0.35">
      <c r="A32" s="13">
        <v>26</v>
      </c>
      <c r="B32" s="14" t="s">
        <v>154</v>
      </c>
      <c r="C32" s="15" t="s">
        <v>47</v>
      </c>
      <c r="D32" s="15" t="s">
        <v>155</v>
      </c>
      <c r="E32" s="16" t="s">
        <v>49</v>
      </c>
      <c r="F32" s="16" t="s">
        <v>49</v>
      </c>
      <c r="G32" s="16" t="s">
        <v>49</v>
      </c>
      <c r="H32" s="14" t="s">
        <v>156</v>
      </c>
      <c r="I32" s="14" t="s">
        <v>157</v>
      </c>
      <c r="J32" s="19" t="s">
        <v>64</v>
      </c>
    </row>
    <row r="33" spans="1:10" ht="37.5" x14ac:dyDescent="0.35">
      <c r="A33" s="13">
        <v>27</v>
      </c>
      <c r="B33" s="14" t="s">
        <v>158</v>
      </c>
      <c r="C33" s="15" t="s">
        <v>47</v>
      </c>
      <c r="D33" s="21" t="s">
        <v>159</v>
      </c>
      <c r="E33" s="21" t="s">
        <v>159</v>
      </c>
      <c r="F33" s="15" t="s">
        <v>47</v>
      </c>
      <c r="G33" s="15" t="s">
        <v>47</v>
      </c>
      <c r="H33" s="14" t="s">
        <v>160</v>
      </c>
      <c r="I33" s="14" t="s">
        <v>161</v>
      </c>
      <c r="J33" s="18" t="s">
        <v>58</v>
      </c>
    </row>
    <row r="34" spans="1:10" ht="30" customHeight="1" x14ac:dyDescent="0.35">
      <c r="A34" s="13">
        <v>28</v>
      </c>
      <c r="B34" s="14" t="s">
        <v>162</v>
      </c>
      <c r="C34" s="15" t="s">
        <v>47</v>
      </c>
      <c r="D34" s="15" t="s">
        <v>47</v>
      </c>
      <c r="E34" s="15" t="s">
        <v>47</v>
      </c>
      <c r="F34" s="15" t="s">
        <v>47</v>
      </c>
      <c r="G34" s="15" t="s">
        <v>47</v>
      </c>
      <c r="H34" s="14" t="s">
        <v>163</v>
      </c>
      <c r="I34" s="14" t="s">
        <v>164</v>
      </c>
      <c r="J34" s="17" t="s">
        <v>52</v>
      </c>
    </row>
    <row r="35" spans="1:10" ht="37.5" x14ac:dyDescent="0.35">
      <c r="A35" s="13">
        <v>29</v>
      </c>
      <c r="B35" s="14" t="s">
        <v>165</v>
      </c>
      <c r="C35" s="15" t="s">
        <v>47</v>
      </c>
      <c r="D35" s="15" t="s">
        <v>47</v>
      </c>
      <c r="E35" s="21" t="s">
        <v>166</v>
      </c>
      <c r="F35" s="21" t="s">
        <v>167</v>
      </c>
      <c r="G35" s="16" t="s">
        <v>49</v>
      </c>
      <c r="H35" s="14" t="s">
        <v>168</v>
      </c>
      <c r="I35" s="14" t="s">
        <v>169</v>
      </c>
      <c r="J35" s="19" t="s">
        <v>64</v>
      </c>
    </row>
    <row r="36" spans="1:10" ht="30" customHeight="1" x14ac:dyDescent="0.35">
      <c r="A36" s="32" t="s">
        <v>170</v>
      </c>
      <c r="B36" s="33"/>
      <c r="C36" s="33"/>
      <c r="D36" s="33"/>
      <c r="E36" s="33"/>
      <c r="F36" s="33"/>
      <c r="G36" s="33"/>
      <c r="H36" s="33"/>
      <c r="I36" s="33"/>
      <c r="J36" s="34"/>
    </row>
    <row r="37" spans="1:10" ht="50" x14ac:dyDescent="0.35">
      <c r="A37" s="13">
        <v>30</v>
      </c>
      <c r="B37" s="14" t="s">
        <v>171</v>
      </c>
      <c r="C37" s="21" t="s">
        <v>140</v>
      </c>
      <c r="D37" s="21" t="s">
        <v>140</v>
      </c>
      <c r="E37" s="15" t="s">
        <v>172</v>
      </c>
      <c r="F37" s="15" t="s">
        <v>47</v>
      </c>
      <c r="G37" s="15" t="s">
        <v>47</v>
      </c>
      <c r="H37" s="14" t="s">
        <v>173</v>
      </c>
      <c r="I37" s="14" t="s">
        <v>174</v>
      </c>
      <c r="J37" s="20" t="s">
        <v>97</v>
      </c>
    </row>
    <row r="38" spans="1:10" ht="30" customHeight="1" x14ac:dyDescent="0.35">
      <c r="A38" s="13">
        <v>31</v>
      </c>
      <c r="B38" s="14" t="s">
        <v>175</v>
      </c>
      <c r="C38" s="21" t="s">
        <v>176</v>
      </c>
      <c r="D38" s="21" t="s">
        <v>176</v>
      </c>
      <c r="E38" s="21" t="s">
        <v>177</v>
      </c>
      <c r="F38" s="21" t="s">
        <v>178</v>
      </c>
      <c r="G38" s="21" t="s">
        <v>178</v>
      </c>
      <c r="H38" s="14" t="s">
        <v>179</v>
      </c>
      <c r="I38" s="14" t="s">
        <v>180</v>
      </c>
      <c r="J38" s="18" t="s">
        <v>58</v>
      </c>
    </row>
    <row r="39" spans="1:10" ht="62.5" x14ac:dyDescent="0.35">
      <c r="A39" s="13">
        <v>32</v>
      </c>
      <c r="B39" s="14" t="s">
        <v>181</v>
      </c>
      <c r="C39" s="15" t="s">
        <v>47</v>
      </c>
      <c r="D39" s="16" t="s">
        <v>49</v>
      </c>
      <c r="E39" s="16" t="s">
        <v>49</v>
      </c>
      <c r="F39" s="16" t="s">
        <v>49</v>
      </c>
      <c r="G39" s="16" t="s">
        <v>49</v>
      </c>
      <c r="H39" s="14" t="s">
        <v>182</v>
      </c>
      <c r="I39" s="14" t="s">
        <v>183</v>
      </c>
      <c r="J39" s="18" t="s">
        <v>58</v>
      </c>
    </row>
    <row r="40" spans="1:10" ht="30" customHeight="1" x14ac:dyDescent="0.35">
      <c r="A40" s="13">
        <v>33</v>
      </c>
      <c r="B40" s="14" t="s">
        <v>184</v>
      </c>
      <c r="C40" s="15" t="s">
        <v>47</v>
      </c>
      <c r="D40" s="15" t="s">
        <v>47</v>
      </c>
      <c r="E40" s="16" t="s">
        <v>49</v>
      </c>
      <c r="F40" s="16" t="s">
        <v>49</v>
      </c>
      <c r="G40" s="16" t="s">
        <v>49</v>
      </c>
      <c r="H40" s="14" t="s">
        <v>185</v>
      </c>
      <c r="I40" s="14" t="s">
        <v>186</v>
      </c>
      <c r="J40" s="19" t="s">
        <v>64</v>
      </c>
    </row>
    <row r="41" spans="1:10" ht="37.5" x14ac:dyDescent="0.35">
      <c r="A41" s="13">
        <v>34</v>
      </c>
      <c r="B41" s="14" t="s">
        <v>187</v>
      </c>
      <c r="C41" s="15" t="s">
        <v>47</v>
      </c>
      <c r="D41" s="15" t="s">
        <v>47</v>
      </c>
      <c r="E41" s="16" t="s">
        <v>49</v>
      </c>
      <c r="F41" s="16" t="s">
        <v>49</v>
      </c>
      <c r="G41" s="16" t="s">
        <v>49</v>
      </c>
      <c r="H41" s="14" t="s">
        <v>188</v>
      </c>
      <c r="I41" s="14" t="s">
        <v>189</v>
      </c>
      <c r="J41" s="19" t="s">
        <v>64</v>
      </c>
    </row>
    <row r="42" spans="1:10" ht="30" customHeight="1" x14ac:dyDescent="0.35">
      <c r="A42" s="13">
        <v>35</v>
      </c>
      <c r="B42" s="14" t="s">
        <v>190</v>
      </c>
      <c r="C42" s="21" t="s">
        <v>140</v>
      </c>
      <c r="D42" s="21" t="s">
        <v>140</v>
      </c>
      <c r="E42" s="21" t="s">
        <v>140</v>
      </c>
      <c r="F42" s="21" t="s">
        <v>140</v>
      </c>
      <c r="G42" s="21" t="s">
        <v>140</v>
      </c>
      <c r="H42" s="14" t="s">
        <v>191</v>
      </c>
      <c r="I42" s="14" t="s">
        <v>192</v>
      </c>
      <c r="J42" s="17" t="s">
        <v>52</v>
      </c>
    </row>
    <row r="43" spans="1:10" ht="30" customHeight="1" x14ac:dyDescent="0.35">
      <c r="A43" s="32" t="s">
        <v>193</v>
      </c>
      <c r="B43" s="33"/>
      <c r="C43" s="33"/>
      <c r="D43" s="33"/>
      <c r="E43" s="33"/>
      <c r="F43" s="33"/>
      <c r="G43" s="33"/>
      <c r="H43" s="33"/>
      <c r="I43" s="33"/>
      <c r="J43" s="34"/>
    </row>
    <row r="44" spans="1:10" ht="37.5" x14ac:dyDescent="0.35">
      <c r="A44" s="13">
        <v>36</v>
      </c>
      <c r="B44" s="14" t="s">
        <v>194</v>
      </c>
      <c r="C44" s="21" t="s">
        <v>195</v>
      </c>
      <c r="D44" s="21" t="s">
        <v>195</v>
      </c>
      <c r="E44" s="21" t="s">
        <v>195</v>
      </c>
      <c r="F44" s="21" t="s">
        <v>196</v>
      </c>
      <c r="G44" s="21" t="s">
        <v>196</v>
      </c>
      <c r="H44" s="14" t="s">
        <v>197</v>
      </c>
      <c r="I44" s="14" t="s">
        <v>198</v>
      </c>
      <c r="J44" s="17" t="s">
        <v>52</v>
      </c>
    </row>
    <row r="45" spans="1:10" ht="30" customHeight="1" x14ac:dyDescent="0.35">
      <c r="A45" s="13">
        <v>37</v>
      </c>
      <c r="B45" s="14" t="s">
        <v>199</v>
      </c>
      <c r="C45" s="16" t="s">
        <v>200</v>
      </c>
      <c r="D45" s="16" t="s">
        <v>200</v>
      </c>
      <c r="E45" s="16" t="s">
        <v>200</v>
      </c>
      <c r="F45" s="16" t="s">
        <v>200</v>
      </c>
      <c r="G45" s="16" t="s">
        <v>200</v>
      </c>
      <c r="H45" s="14" t="s">
        <v>201</v>
      </c>
      <c r="I45" s="14" t="s">
        <v>202</v>
      </c>
      <c r="J45" s="17" t="s">
        <v>52</v>
      </c>
    </row>
  </sheetData>
  <mergeCells count="7">
    <mergeCell ref="A43:J43"/>
    <mergeCell ref="A2:J2"/>
    <mergeCell ref="A36:J36"/>
    <mergeCell ref="A31:J31"/>
    <mergeCell ref="A14:J14"/>
    <mergeCell ref="A22:J22"/>
    <mergeCell ref="A17:J17"/>
  </mergeCells>
  <pageMargins left="0.4" right="0.4"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9A24A"/>
    <pageSetUpPr fitToPage="1"/>
  </sheetPr>
  <dimension ref="A1:H26"/>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36" customWidth="1"/>
    <col min="3" max="3" width="16" customWidth="1"/>
    <col min="4" max="4" width="24" customWidth="1"/>
    <col min="5" max="6" width="40" customWidth="1"/>
    <col min="7" max="7" width="44" customWidth="1"/>
    <col min="8" max="8" width="22" customWidth="1"/>
  </cols>
  <sheetData>
    <row r="1" spans="1:8" x14ac:dyDescent="0.35">
      <c r="A1" s="12" t="s">
        <v>35</v>
      </c>
      <c r="B1" s="12" t="s">
        <v>203</v>
      </c>
      <c r="C1" s="12" t="s">
        <v>204</v>
      </c>
      <c r="D1" s="12" t="s">
        <v>205</v>
      </c>
      <c r="E1" s="12" t="s">
        <v>206</v>
      </c>
      <c r="F1" s="12" t="s">
        <v>207</v>
      </c>
      <c r="G1" s="12" t="s">
        <v>208</v>
      </c>
      <c r="H1" s="12" t="s">
        <v>209</v>
      </c>
    </row>
    <row r="2" spans="1:8" ht="30" customHeight="1" x14ac:dyDescent="0.35">
      <c r="A2" s="13">
        <v>1</v>
      </c>
      <c r="B2" s="14" t="s">
        <v>210</v>
      </c>
      <c r="C2" s="14" t="s">
        <v>211</v>
      </c>
      <c r="D2" s="14" t="s">
        <v>49</v>
      </c>
      <c r="E2" s="14" t="s">
        <v>212</v>
      </c>
      <c r="F2" s="14" t="s">
        <v>213</v>
      </c>
      <c r="G2" s="14" t="s">
        <v>214</v>
      </c>
      <c r="H2" s="22" t="s">
        <v>215</v>
      </c>
    </row>
    <row r="3" spans="1:8" ht="30" customHeight="1" x14ac:dyDescent="0.35">
      <c r="A3" s="13">
        <v>2</v>
      </c>
      <c r="B3" s="14" t="s">
        <v>216</v>
      </c>
      <c r="C3" s="14" t="s">
        <v>217</v>
      </c>
      <c r="D3" s="14" t="s">
        <v>218</v>
      </c>
      <c r="E3" s="14" t="s">
        <v>219</v>
      </c>
      <c r="F3" s="14" t="s">
        <v>220</v>
      </c>
      <c r="G3" s="14" t="s">
        <v>221</v>
      </c>
      <c r="H3" s="19" t="s">
        <v>64</v>
      </c>
    </row>
    <row r="4" spans="1:8" ht="37.5" x14ac:dyDescent="0.35">
      <c r="A4" s="13">
        <v>3</v>
      </c>
      <c r="B4" s="14" t="s">
        <v>222</v>
      </c>
      <c r="C4" s="14" t="s">
        <v>60</v>
      </c>
      <c r="D4" s="14" t="s">
        <v>223</v>
      </c>
      <c r="E4" s="14" t="s">
        <v>224</v>
      </c>
      <c r="F4" s="14" t="s">
        <v>225</v>
      </c>
      <c r="G4" s="14" t="s">
        <v>226</v>
      </c>
      <c r="H4" s="19" t="s">
        <v>64</v>
      </c>
    </row>
    <row r="5" spans="1:8" ht="37.5" x14ac:dyDescent="0.35">
      <c r="A5" s="13">
        <v>4</v>
      </c>
      <c r="B5" s="14" t="s">
        <v>227</v>
      </c>
      <c r="C5" s="14" t="s">
        <v>228</v>
      </c>
      <c r="D5" s="14" t="s">
        <v>229</v>
      </c>
      <c r="E5" s="14" t="s">
        <v>230</v>
      </c>
      <c r="F5" s="14" t="s">
        <v>231</v>
      </c>
      <c r="G5" s="14" t="s">
        <v>232</v>
      </c>
      <c r="H5" s="20" t="s">
        <v>97</v>
      </c>
    </row>
    <row r="6" spans="1:8" ht="30" customHeight="1" x14ac:dyDescent="0.35">
      <c r="A6" s="13">
        <v>5</v>
      </c>
      <c r="B6" s="14" t="s">
        <v>233</v>
      </c>
      <c r="C6" s="14" t="s">
        <v>228</v>
      </c>
      <c r="D6" s="14" t="s">
        <v>229</v>
      </c>
      <c r="E6" s="14" t="s">
        <v>234</v>
      </c>
      <c r="F6" s="14" t="s">
        <v>235</v>
      </c>
      <c r="G6" s="14" t="s">
        <v>236</v>
      </c>
      <c r="H6" s="18" t="s">
        <v>58</v>
      </c>
    </row>
    <row r="7" spans="1:8" ht="30" customHeight="1" x14ac:dyDescent="0.35">
      <c r="A7" s="13">
        <v>6</v>
      </c>
      <c r="B7" s="14" t="s">
        <v>237</v>
      </c>
      <c r="C7" s="14" t="s">
        <v>238</v>
      </c>
      <c r="D7" s="14" t="s">
        <v>239</v>
      </c>
      <c r="E7" s="14" t="s">
        <v>240</v>
      </c>
      <c r="F7" s="14" t="s">
        <v>241</v>
      </c>
      <c r="G7" s="14" t="s">
        <v>242</v>
      </c>
      <c r="H7" s="22" t="s">
        <v>215</v>
      </c>
    </row>
    <row r="8" spans="1:8" ht="30" customHeight="1" x14ac:dyDescent="0.35">
      <c r="A8" s="13">
        <v>7</v>
      </c>
      <c r="B8" s="14" t="s">
        <v>243</v>
      </c>
      <c r="C8" s="14" t="s">
        <v>211</v>
      </c>
      <c r="D8" s="14" t="s">
        <v>244</v>
      </c>
      <c r="E8" s="14" t="s">
        <v>245</v>
      </c>
      <c r="F8" s="14" t="s">
        <v>246</v>
      </c>
      <c r="G8" s="14" t="s">
        <v>247</v>
      </c>
      <c r="H8" s="20" t="s">
        <v>97</v>
      </c>
    </row>
    <row r="9" spans="1:8" ht="30" customHeight="1" x14ac:dyDescent="0.35">
      <c r="A9" s="13">
        <v>8</v>
      </c>
      <c r="B9" s="14" t="s">
        <v>243</v>
      </c>
      <c r="C9" s="14" t="s">
        <v>248</v>
      </c>
      <c r="D9" s="14" t="s">
        <v>249</v>
      </c>
      <c r="E9" s="14" t="s">
        <v>250</v>
      </c>
      <c r="F9" s="14" t="s">
        <v>251</v>
      </c>
      <c r="G9" s="14" t="s">
        <v>252</v>
      </c>
      <c r="H9" s="17" t="s">
        <v>253</v>
      </c>
    </row>
    <row r="10" spans="1:8" ht="30" customHeight="1" x14ac:dyDescent="0.35">
      <c r="A10" s="13">
        <v>9</v>
      </c>
      <c r="B10" s="14" t="s">
        <v>243</v>
      </c>
      <c r="C10" s="14" t="s">
        <v>254</v>
      </c>
      <c r="D10" s="14" t="s">
        <v>255</v>
      </c>
      <c r="E10" s="14" t="s">
        <v>256</v>
      </c>
      <c r="F10" s="14" t="s">
        <v>257</v>
      </c>
      <c r="G10" s="14" t="s">
        <v>258</v>
      </c>
      <c r="H10" s="22" t="s">
        <v>215</v>
      </c>
    </row>
    <row r="11" spans="1:8" ht="30" customHeight="1" x14ac:dyDescent="0.35">
      <c r="A11" s="13">
        <v>10</v>
      </c>
      <c r="B11" s="14" t="s">
        <v>259</v>
      </c>
      <c r="C11" s="14" t="s">
        <v>211</v>
      </c>
      <c r="D11" s="14" t="s">
        <v>260</v>
      </c>
      <c r="E11" s="14" t="s">
        <v>261</v>
      </c>
      <c r="F11" s="14" t="s">
        <v>262</v>
      </c>
      <c r="G11" s="14" t="s">
        <v>263</v>
      </c>
      <c r="H11" s="22" t="s">
        <v>215</v>
      </c>
    </row>
    <row r="12" spans="1:8" ht="30" customHeight="1" x14ac:dyDescent="0.35">
      <c r="A12" s="13">
        <v>11</v>
      </c>
      <c r="B12" s="14" t="s">
        <v>264</v>
      </c>
      <c r="C12" s="14" t="s">
        <v>265</v>
      </c>
      <c r="D12" s="14" t="s">
        <v>229</v>
      </c>
      <c r="E12" s="14" t="s">
        <v>266</v>
      </c>
      <c r="F12" s="14" t="s">
        <v>267</v>
      </c>
      <c r="G12" s="14" t="s">
        <v>268</v>
      </c>
      <c r="H12" s="19" t="s">
        <v>64</v>
      </c>
    </row>
    <row r="13" spans="1:8" ht="37.5" x14ac:dyDescent="0.35">
      <c r="A13" s="13">
        <v>12</v>
      </c>
      <c r="B13" s="14" t="s">
        <v>269</v>
      </c>
      <c r="C13" s="14" t="s">
        <v>270</v>
      </c>
      <c r="D13" s="14" t="s">
        <v>271</v>
      </c>
      <c r="E13" s="14" t="s">
        <v>272</v>
      </c>
      <c r="F13" s="14" t="s">
        <v>273</v>
      </c>
      <c r="G13" s="14" t="s">
        <v>274</v>
      </c>
      <c r="H13" s="19" t="s">
        <v>64</v>
      </c>
    </row>
    <row r="14" spans="1:8" ht="30" customHeight="1" x14ac:dyDescent="0.35">
      <c r="A14" s="13">
        <v>13</v>
      </c>
      <c r="B14" s="14" t="s">
        <v>275</v>
      </c>
      <c r="C14" s="14" t="s">
        <v>238</v>
      </c>
      <c r="D14" s="14" t="s">
        <v>229</v>
      </c>
      <c r="E14" s="14" t="s">
        <v>276</v>
      </c>
      <c r="F14" s="14" t="s">
        <v>277</v>
      </c>
      <c r="G14" s="14" t="s">
        <v>278</v>
      </c>
      <c r="H14" s="18" t="s">
        <v>58</v>
      </c>
    </row>
    <row r="15" spans="1:8" ht="30" customHeight="1" x14ac:dyDescent="0.35">
      <c r="A15" s="13">
        <v>14</v>
      </c>
      <c r="B15" s="14" t="s">
        <v>279</v>
      </c>
      <c r="C15" s="14" t="s">
        <v>248</v>
      </c>
      <c r="D15" s="14" t="s">
        <v>229</v>
      </c>
      <c r="E15" s="14" t="s">
        <v>280</v>
      </c>
      <c r="F15" s="14" t="s">
        <v>281</v>
      </c>
      <c r="G15" s="14" t="s">
        <v>282</v>
      </c>
      <c r="H15" s="22" t="s">
        <v>215</v>
      </c>
    </row>
    <row r="16" spans="1:8" ht="30" customHeight="1" x14ac:dyDescent="0.35">
      <c r="A16" s="13">
        <v>15</v>
      </c>
      <c r="B16" s="14" t="s">
        <v>283</v>
      </c>
      <c r="C16" s="14" t="s">
        <v>60</v>
      </c>
      <c r="D16" s="14" t="s">
        <v>284</v>
      </c>
      <c r="E16" s="14" t="s">
        <v>285</v>
      </c>
      <c r="F16" s="14" t="s">
        <v>286</v>
      </c>
      <c r="G16" s="14" t="s">
        <v>287</v>
      </c>
      <c r="H16" s="22" t="s">
        <v>215</v>
      </c>
    </row>
    <row r="17" spans="1:8" ht="30" customHeight="1" x14ac:dyDescent="0.35">
      <c r="A17" s="13">
        <v>16</v>
      </c>
      <c r="B17" s="14" t="s">
        <v>288</v>
      </c>
      <c r="C17" s="14" t="s">
        <v>211</v>
      </c>
      <c r="D17" s="14" t="s">
        <v>229</v>
      </c>
      <c r="E17" s="14" t="s">
        <v>289</v>
      </c>
      <c r="F17" s="14" t="s">
        <v>290</v>
      </c>
      <c r="G17" s="14" t="s">
        <v>291</v>
      </c>
      <c r="H17" s="20" t="s">
        <v>97</v>
      </c>
    </row>
    <row r="18" spans="1:8" ht="30" customHeight="1" x14ac:dyDescent="0.35">
      <c r="A18" s="13">
        <v>17</v>
      </c>
      <c r="B18" s="14" t="s">
        <v>292</v>
      </c>
      <c r="C18" s="14" t="s">
        <v>228</v>
      </c>
      <c r="D18" s="14" t="s">
        <v>260</v>
      </c>
      <c r="E18" s="14" t="s">
        <v>293</v>
      </c>
      <c r="F18" s="14" t="s">
        <v>294</v>
      </c>
      <c r="G18" s="14" t="s">
        <v>295</v>
      </c>
      <c r="H18" s="18" t="s">
        <v>58</v>
      </c>
    </row>
    <row r="19" spans="1:8" ht="30" customHeight="1" x14ac:dyDescent="0.35">
      <c r="A19" s="13">
        <v>18</v>
      </c>
      <c r="B19" s="14" t="s">
        <v>296</v>
      </c>
      <c r="C19" s="14" t="s">
        <v>228</v>
      </c>
      <c r="D19" s="14" t="s">
        <v>229</v>
      </c>
      <c r="E19" s="14" t="s">
        <v>297</v>
      </c>
      <c r="F19" s="14" t="s">
        <v>298</v>
      </c>
      <c r="G19" s="14" t="s">
        <v>299</v>
      </c>
      <c r="H19" s="19" t="s">
        <v>64</v>
      </c>
    </row>
    <row r="20" spans="1:8" ht="30" customHeight="1" x14ac:dyDescent="0.35">
      <c r="A20" s="13">
        <v>19</v>
      </c>
      <c r="B20" s="14" t="s">
        <v>300</v>
      </c>
      <c r="C20" s="14" t="s">
        <v>301</v>
      </c>
      <c r="D20" s="14" t="s">
        <v>229</v>
      </c>
      <c r="E20" s="14" t="s">
        <v>302</v>
      </c>
      <c r="F20" s="14" t="s">
        <v>303</v>
      </c>
      <c r="G20" s="14" t="s">
        <v>304</v>
      </c>
      <c r="H20" s="19" t="s">
        <v>64</v>
      </c>
    </row>
    <row r="21" spans="1:8" ht="30" customHeight="1" x14ac:dyDescent="0.35">
      <c r="A21" s="13">
        <v>20</v>
      </c>
      <c r="B21" s="14" t="s">
        <v>305</v>
      </c>
      <c r="C21" s="14" t="s">
        <v>228</v>
      </c>
      <c r="D21" s="14" t="s">
        <v>229</v>
      </c>
      <c r="E21" s="14" t="s">
        <v>306</v>
      </c>
      <c r="F21" s="14" t="s">
        <v>307</v>
      </c>
      <c r="G21" s="14" t="s">
        <v>308</v>
      </c>
      <c r="H21" s="19" t="s">
        <v>64</v>
      </c>
    </row>
    <row r="22" spans="1:8" ht="30" customHeight="1" x14ac:dyDescent="0.35">
      <c r="A22" s="13">
        <v>21</v>
      </c>
      <c r="B22" s="14" t="s">
        <v>309</v>
      </c>
      <c r="C22" s="14" t="s">
        <v>310</v>
      </c>
      <c r="D22" s="14" t="s">
        <v>229</v>
      </c>
      <c r="E22" s="14" t="s">
        <v>311</v>
      </c>
      <c r="F22" s="14" t="s">
        <v>312</v>
      </c>
      <c r="G22" s="14" t="s">
        <v>313</v>
      </c>
      <c r="H22" s="18" t="s">
        <v>58</v>
      </c>
    </row>
    <row r="23" spans="1:8" ht="30" customHeight="1" x14ac:dyDescent="0.35">
      <c r="A23" s="13">
        <v>22</v>
      </c>
      <c r="B23" s="14" t="s">
        <v>314</v>
      </c>
      <c r="C23" s="14" t="s">
        <v>315</v>
      </c>
      <c r="D23" s="14" t="s">
        <v>229</v>
      </c>
      <c r="E23" s="14" t="s">
        <v>316</v>
      </c>
      <c r="F23" s="14" t="s">
        <v>317</v>
      </c>
      <c r="G23" s="14" t="s">
        <v>318</v>
      </c>
      <c r="H23" s="19" t="s">
        <v>64</v>
      </c>
    </row>
    <row r="24" spans="1:8" ht="30" customHeight="1" x14ac:dyDescent="0.35">
      <c r="A24" s="13">
        <v>23</v>
      </c>
      <c r="B24" s="14" t="s">
        <v>319</v>
      </c>
      <c r="C24" s="14" t="s">
        <v>301</v>
      </c>
      <c r="D24" s="14" t="s">
        <v>229</v>
      </c>
      <c r="E24" s="14" t="s">
        <v>320</v>
      </c>
      <c r="F24" s="14" t="s">
        <v>321</v>
      </c>
      <c r="G24" s="14" t="s">
        <v>322</v>
      </c>
      <c r="H24" s="19" t="s">
        <v>64</v>
      </c>
    </row>
    <row r="25" spans="1:8" ht="30" customHeight="1" x14ac:dyDescent="0.35">
      <c r="A25" s="13">
        <v>24</v>
      </c>
      <c r="B25" s="14" t="s">
        <v>323</v>
      </c>
      <c r="C25" s="14" t="s">
        <v>265</v>
      </c>
      <c r="D25" s="14" t="s">
        <v>324</v>
      </c>
      <c r="E25" s="14" t="s">
        <v>325</v>
      </c>
      <c r="F25" s="14" t="s">
        <v>326</v>
      </c>
      <c r="G25" s="14" t="s">
        <v>327</v>
      </c>
      <c r="H25" s="20" t="s">
        <v>97</v>
      </c>
    </row>
    <row r="26" spans="1:8" ht="37.5" x14ac:dyDescent="0.35">
      <c r="A26" s="13">
        <v>25</v>
      </c>
      <c r="B26" s="14" t="s">
        <v>328</v>
      </c>
      <c r="C26" s="14" t="s">
        <v>60</v>
      </c>
      <c r="D26" s="14" t="s">
        <v>329</v>
      </c>
      <c r="E26" s="14" t="s">
        <v>330</v>
      </c>
      <c r="F26" s="14" t="s">
        <v>331</v>
      </c>
      <c r="G26" s="14" t="s">
        <v>332</v>
      </c>
      <c r="H26" s="20" t="s">
        <v>97</v>
      </c>
    </row>
  </sheetData>
  <pageMargins left="0.4" right="0.4"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9A24A"/>
    <pageSetUpPr fitToPage="1"/>
  </sheetPr>
  <dimension ref="A1:G14"/>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38" customWidth="1"/>
    <col min="3" max="3" width="20" customWidth="1"/>
    <col min="4" max="4" width="52" customWidth="1"/>
    <col min="5" max="5" width="46" customWidth="1"/>
    <col min="6" max="6" width="14" customWidth="1"/>
    <col min="7" max="7" width="11" customWidth="1"/>
  </cols>
  <sheetData>
    <row r="1" spans="1:7" x14ac:dyDescent="0.35">
      <c r="A1" s="12" t="s">
        <v>35</v>
      </c>
      <c r="B1" s="12" t="s">
        <v>333</v>
      </c>
      <c r="C1" s="12" t="s">
        <v>334</v>
      </c>
      <c r="D1" s="12" t="s">
        <v>335</v>
      </c>
      <c r="E1" s="12" t="s">
        <v>336</v>
      </c>
      <c r="F1" s="12" t="s">
        <v>44</v>
      </c>
      <c r="G1" s="12" t="s">
        <v>337</v>
      </c>
    </row>
    <row r="2" spans="1:7" ht="30" customHeight="1" x14ac:dyDescent="0.35">
      <c r="A2" s="13">
        <v>1</v>
      </c>
      <c r="B2" s="14" t="s">
        <v>338</v>
      </c>
      <c r="C2" s="14" t="s">
        <v>339</v>
      </c>
      <c r="D2" s="14" t="s">
        <v>340</v>
      </c>
      <c r="E2" s="14" t="s">
        <v>341</v>
      </c>
      <c r="F2" s="17" t="s">
        <v>52</v>
      </c>
      <c r="G2" s="13" t="s">
        <v>342</v>
      </c>
    </row>
    <row r="3" spans="1:7" ht="30" customHeight="1" x14ac:dyDescent="0.35">
      <c r="A3" s="13">
        <v>2</v>
      </c>
      <c r="B3" s="14" t="s">
        <v>343</v>
      </c>
      <c r="C3" s="14" t="s">
        <v>344</v>
      </c>
      <c r="D3" s="14" t="s">
        <v>345</v>
      </c>
      <c r="E3" s="14" t="s">
        <v>346</v>
      </c>
      <c r="F3" s="17" t="s">
        <v>52</v>
      </c>
      <c r="G3" s="13" t="s">
        <v>342</v>
      </c>
    </row>
    <row r="4" spans="1:7" ht="30" customHeight="1" x14ac:dyDescent="0.35">
      <c r="A4" s="13">
        <v>3</v>
      </c>
      <c r="B4" s="14" t="s">
        <v>347</v>
      </c>
      <c r="C4" s="14" t="s">
        <v>339</v>
      </c>
      <c r="D4" s="14" t="s">
        <v>348</v>
      </c>
      <c r="E4" s="14" t="s">
        <v>349</v>
      </c>
      <c r="F4" s="17" t="s">
        <v>52</v>
      </c>
      <c r="G4" s="13" t="s">
        <v>342</v>
      </c>
    </row>
    <row r="5" spans="1:7" ht="30" customHeight="1" x14ac:dyDescent="0.35">
      <c r="A5" s="13">
        <v>4</v>
      </c>
      <c r="B5" s="14" t="s">
        <v>350</v>
      </c>
      <c r="C5" s="14" t="s">
        <v>351</v>
      </c>
      <c r="D5" s="14" t="s">
        <v>352</v>
      </c>
      <c r="E5" s="14" t="s">
        <v>353</v>
      </c>
      <c r="F5" s="17" t="s">
        <v>52</v>
      </c>
      <c r="G5" s="13" t="s">
        <v>342</v>
      </c>
    </row>
    <row r="6" spans="1:7" ht="30" customHeight="1" x14ac:dyDescent="0.35">
      <c r="A6" s="13">
        <v>5</v>
      </c>
      <c r="B6" s="14" t="s">
        <v>354</v>
      </c>
      <c r="C6" s="14" t="s">
        <v>355</v>
      </c>
      <c r="D6" s="14" t="s">
        <v>356</v>
      </c>
      <c r="E6" s="14" t="s">
        <v>357</v>
      </c>
      <c r="F6" s="19" t="s">
        <v>64</v>
      </c>
      <c r="G6" s="13" t="s">
        <v>342</v>
      </c>
    </row>
    <row r="7" spans="1:7" ht="30" customHeight="1" x14ac:dyDescent="0.35">
      <c r="A7" s="13">
        <v>6</v>
      </c>
      <c r="B7" s="14" t="s">
        <v>358</v>
      </c>
      <c r="C7" s="14" t="s">
        <v>351</v>
      </c>
      <c r="D7" s="14" t="s">
        <v>359</v>
      </c>
      <c r="E7" s="14" t="s">
        <v>360</v>
      </c>
      <c r="F7" s="20" t="s">
        <v>97</v>
      </c>
      <c r="G7" s="13" t="s">
        <v>342</v>
      </c>
    </row>
    <row r="8" spans="1:7" ht="30" customHeight="1" x14ac:dyDescent="0.35">
      <c r="A8" s="13">
        <v>7</v>
      </c>
      <c r="B8" s="14" t="s">
        <v>361</v>
      </c>
      <c r="C8" s="14" t="s">
        <v>362</v>
      </c>
      <c r="D8" s="14" t="s">
        <v>363</v>
      </c>
      <c r="E8" s="14" t="s">
        <v>364</v>
      </c>
      <c r="F8" s="17" t="s">
        <v>52</v>
      </c>
      <c r="G8" s="13" t="s">
        <v>365</v>
      </c>
    </row>
    <row r="9" spans="1:7" ht="30" customHeight="1" x14ac:dyDescent="0.35">
      <c r="A9" s="13">
        <v>8</v>
      </c>
      <c r="B9" s="14" t="s">
        <v>366</v>
      </c>
      <c r="C9" s="14" t="s">
        <v>351</v>
      </c>
      <c r="D9" s="14" t="s">
        <v>367</v>
      </c>
      <c r="E9" s="14" t="s">
        <v>368</v>
      </c>
      <c r="F9" s="17" t="s">
        <v>52</v>
      </c>
      <c r="G9" s="13" t="s">
        <v>365</v>
      </c>
    </row>
    <row r="10" spans="1:7" ht="30" customHeight="1" x14ac:dyDescent="0.35">
      <c r="A10" s="13">
        <v>9</v>
      </c>
      <c r="B10" s="14" t="s">
        <v>369</v>
      </c>
      <c r="C10" s="14" t="s">
        <v>370</v>
      </c>
      <c r="D10" s="14" t="s">
        <v>371</v>
      </c>
      <c r="E10" s="14" t="s">
        <v>372</v>
      </c>
      <c r="F10" s="17" t="s">
        <v>52</v>
      </c>
      <c r="G10" s="13" t="s">
        <v>365</v>
      </c>
    </row>
    <row r="11" spans="1:7" ht="37.5" x14ac:dyDescent="0.35">
      <c r="A11" s="13">
        <v>10</v>
      </c>
      <c r="B11" s="14" t="s">
        <v>373</v>
      </c>
      <c r="C11" s="14" t="s">
        <v>374</v>
      </c>
      <c r="D11" s="14" t="s">
        <v>375</v>
      </c>
      <c r="E11" s="14" t="s">
        <v>376</v>
      </c>
      <c r="F11" s="20" t="s">
        <v>97</v>
      </c>
      <c r="G11" s="13" t="s">
        <v>365</v>
      </c>
    </row>
    <row r="12" spans="1:7" ht="30" customHeight="1" x14ac:dyDescent="0.35">
      <c r="A12" s="13">
        <v>11</v>
      </c>
      <c r="B12" s="14" t="s">
        <v>377</v>
      </c>
      <c r="C12" s="14" t="s">
        <v>378</v>
      </c>
      <c r="D12" s="14" t="s">
        <v>379</v>
      </c>
      <c r="E12" s="14" t="s">
        <v>380</v>
      </c>
      <c r="F12" s="20" t="s">
        <v>97</v>
      </c>
      <c r="G12" s="13" t="s">
        <v>365</v>
      </c>
    </row>
    <row r="13" spans="1:7" ht="30" customHeight="1" x14ac:dyDescent="0.35">
      <c r="A13" s="13">
        <v>12</v>
      </c>
      <c r="B13" s="14" t="s">
        <v>381</v>
      </c>
      <c r="C13" s="14" t="s">
        <v>382</v>
      </c>
      <c r="D13" s="14" t="s">
        <v>383</v>
      </c>
      <c r="E13" s="14" t="s">
        <v>384</v>
      </c>
      <c r="F13" s="19" t="s">
        <v>64</v>
      </c>
      <c r="G13" s="13" t="s">
        <v>385</v>
      </c>
    </row>
    <row r="14" spans="1:7" ht="30" customHeight="1" x14ac:dyDescent="0.35">
      <c r="A14" s="13">
        <v>13</v>
      </c>
      <c r="B14" s="14" t="s">
        <v>386</v>
      </c>
      <c r="C14" s="14" t="s">
        <v>344</v>
      </c>
      <c r="D14" s="14" t="s">
        <v>387</v>
      </c>
      <c r="E14" s="14" t="s">
        <v>388</v>
      </c>
      <c r="F14" s="18" t="s">
        <v>58</v>
      </c>
      <c r="G14" s="13" t="s">
        <v>385</v>
      </c>
    </row>
  </sheetData>
  <pageMargins left="0.4" right="0.4"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9A24A"/>
    <pageSetUpPr fitToPage="1"/>
  </sheetPr>
  <dimension ref="A1:F17"/>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44" customWidth="1"/>
    <col min="3" max="3" width="28" customWidth="1"/>
    <col min="4" max="4" width="54" customWidth="1"/>
    <col min="5" max="5" width="14" customWidth="1"/>
    <col min="6" max="6" width="11" customWidth="1"/>
  </cols>
  <sheetData>
    <row r="1" spans="1:6" x14ac:dyDescent="0.35">
      <c r="A1" s="12" t="s">
        <v>35</v>
      </c>
      <c r="B1" s="12" t="s">
        <v>333</v>
      </c>
      <c r="C1" s="12" t="s">
        <v>389</v>
      </c>
      <c r="D1" s="12" t="s">
        <v>390</v>
      </c>
      <c r="E1" s="12" t="s">
        <v>44</v>
      </c>
      <c r="F1" s="12" t="s">
        <v>337</v>
      </c>
    </row>
    <row r="2" spans="1:6" ht="30" customHeight="1" x14ac:dyDescent="0.35">
      <c r="A2" s="13">
        <v>1</v>
      </c>
      <c r="B2" s="14" t="s">
        <v>391</v>
      </c>
      <c r="C2" s="14" t="s">
        <v>210</v>
      </c>
      <c r="D2" s="14" t="s">
        <v>392</v>
      </c>
      <c r="E2" s="17" t="s">
        <v>52</v>
      </c>
      <c r="F2" s="13" t="s">
        <v>342</v>
      </c>
    </row>
    <row r="3" spans="1:6" ht="30" customHeight="1" x14ac:dyDescent="0.35">
      <c r="A3" s="13">
        <v>2</v>
      </c>
      <c r="B3" s="14" t="s">
        <v>393</v>
      </c>
      <c r="C3" s="14" t="s">
        <v>394</v>
      </c>
      <c r="D3" s="14" t="s">
        <v>395</v>
      </c>
      <c r="E3" s="17" t="s">
        <v>52</v>
      </c>
      <c r="F3" s="13" t="s">
        <v>342</v>
      </c>
    </row>
    <row r="4" spans="1:6" ht="30" customHeight="1" x14ac:dyDescent="0.35">
      <c r="A4" s="13">
        <v>3</v>
      </c>
      <c r="B4" s="14" t="s">
        <v>396</v>
      </c>
      <c r="C4" s="14" t="s">
        <v>397</v>
      </c>
      <c r="D4" s="14" t="s">
        <v>398</v>
      </c>
      <c r="E4" s="17" t="s">
        <v>52</v>
      </c>
      <c r="F4" s="13" t="s">
        <v>342</v>
      </c>
    </row>
    <row r="5" spans="1:6" ht="30" customHeight="1" x14ac:dyDescent="0.35">
      <c r="A5" s="13">
        <v>4</v>
      </c>
      <c r="B5" s="14" t="s">
        <v>399</v>
      </c>
      <c r="C5" s="14" t="s">
        <v>400</v>
      </c>
      <c r="D5" s="14" t="s">
        <v>401</v>
      </c>
      <c r="E5" s="17" t="s">
        <v>52</v>
      </c>
      <c r="F5" s="13" t="s">
        <v>342</v>
      </c>
    </row>
    <row r="6" spans="1:6" ht="30" customHeight="1" x14ac:dyDescent="0.35">
      <c r="A6" s="13">
        <v>5</v>
      </c>
      <c r="B6" s="14" t="s">
        <v>402</v>
      </c>
      <c r="C6" s="14" t="s">
        <v>403</v>
      </c>
      <c r="D6" s="14" t="s">
        <v>404</v>
      </c>
      <c r="E6" s="20" t="s">
        <v>97</v>
      </c>
      <c r="F6" s="13" t="s">
        <v>342</v>
      </c>
    </row>
    <row r="7" spans="1:6" ht="30" customHeight="1" x14ac:dyDescent="0.35">
      <c r="A7" s="13">
        <v>6</v>
      </c>
      <c r="B7" s="14" t="s">
        <v>405</v>
      </c>
      <c r="C7" s="14" t="s">
        <v>406</v>
      </c>
      <c r="D7" s="14" t="s">
        <v>407</v>
      </c>
      <c r="E7" s="17" t="s">
        <v>52</v>
      </c>
      <c r="F7" s="13" t="s">
        <v>365</v>
      </c>
    </row>
    <row r="8" spans="1:6" ht="30" customHeight="1" x14ac:dyDescent="0.35">
      <c r="A8" s="13">
        <v>7</v>
      </c>
      <c r="B8" s="14" t="s">
        <v>408</v>
      </c>
      <c r="C8" s="14" t="s">
        <v>406</v>
      </c>
      <c r="D8" s="14" t="s">
        <v>409</v>
      </c>
      <c r="E8" s="17" t="s">
        <v>52</v>
      </c>
      <c r="F8" s="13" t="s">
        <v>365</v>
      </c>
    </row>
    <row r="9" spans="1:6" ht="30" customHeight="1" x14ac:dyDescent="0.35">
      <c r="A9" s="13">
        <v>8</v>
      </c>
      <c r="B9" s="14" t="s">
        <v>410</v>
      </c>
      <c r="C9" s="14" t="s">
        <v>411</v>
      </c>
      <c r="D9" s="14" t="s">
        <v>412</v>
      </c>
      <c r="E9" s="17" t="s">
        <v>52</v>
      </c>
      <c r="F9" s="13" t="s">
        <v>365</v>
      </c>
    </row>
    <row r="10" spans="1:6" ht="30" customHeight="1" x14ac:dyDescent="0.35">
      <c r="A10" s="13">
        <v>9</v>
      </c>
      <c r="B10" s="14" t="s">
        <v>413</v>
      </c>
      <c r="C10" s="14" t="s">
        <v>414</v>
      </c>
      <c r="D10" s="14" t="s">
        <v>415</v>
      </c>
      <c r="E10" s="17" t="s">
        <v>52</v>
      </c>
      <c r="F10" s="13" t="s">
        <v>365</v>
      </c>
    </row>
    <row r="11" spans="1:6" ht="30" customHeight="1" x14ac:dyDescent="0.35">
      <c r="A11" s="13">
        <v>10</v>
      </c>
      <c r="B11" s="14" t="s">
        <v>416</v>
      </c>
      <c r="C11" s="14" t="s">
        <v>417</v>
      </c>
      <c r="D11" s="14" t="s">
        <v>418</v>
      </c>
      <c r="E11" s="19" t="s">
        <v>64</v>
      </c>
      <c r="F11" s="13" t="s">
        <v>365</v>
      </c>
    </row>
    <row r="12" spans="1:6" ht="30" customHeight="1" x14ac:dyDescent="0.35">
      <c r="A12" s="13">
        <v>11</v>
      </c>
      <c r="B12" s="14" t="s">
        <v>419</v>
      </c>
      <c r="C12" s="14" t="s">
        <v>417</v>
      </c>
      <c r="D12" s="14" t="s">
        <v>420</v>
      </c>
      <c r="E12" s="19" t="s">
        <v>64</v>
      </c>
      <c r="F12" s="13" t="s">
        <v>365</v>
      </c>
    </row>
    <row r="13" spans="1:6" ht="30" customHeight="1" x14ac:dyDescent="0.35">
      <c r="A13" s="13">
        <v>12</v>
      </c>
      <c r="B13" s="14" t="s">
        <v>421</v>
      </c>
      <c r="C13" s="14" t="s">
        <v>422</v>
      </c>
      <c r="D13" s="14" t="s">
        <v>423</v>
      </c>
      <c r="E13" s="19" t="s">
        <v>64</v>
      </c>
      <c r="F13" s="13" t="s">
        <v>365</v>
      </c>
    </row>
    <row r="14" spans="1:6" ht="30" customHeight="1" x14ac:dyDescent="0.35">
      <c r="A14" s="13">
        <v>13</v>
      </c>
      <c r="B14" s="14" t="s">
        <v>424</v>
      </c>
      <c r="C14" s="14" t="s">
        <v>425</v>
      </c>
      <c r="D14" s="14" t="s">
        <v>426</v>
      </c>
      <c r="E14" s="19" t="s">
        <v>64</v>
      </c>
      <c r="F14" s="13" t="s">
        <v>365</v>
      </c>
    </row>
    <row r="15" spans="1:6" ht="30" customHeight="1" x14ac:dyDescent="0.35">
      <c r="A15" s="13">
        <v>14</v>
      </c>
      <c r="B15" s="14" t="s">
        <v>427</v>
      </c>
      <c r="C15" s="14" t="s">
        <v>425</v>
      </c>
      <c r="D15" s="14" t="s">
        <v>428</v>
      </c>
      <c r="E15" s="19" t="s">
        <v>64</v>
      </c>
      <c r="F15" s="13" t="s">
        <v>365</v>
      </c>
    </row>
    <row r="16" spans="1:6" ht="30" customHeight="1" x14ac:dyDescent="0.35">
      <c r="A16" s="13">
        <v>15</v>
      </c>
      <c r="B16" s="14" t="s">
        <v>429</v>
      </c>
      <c r="C16" s="14" t="s">
        <v>403</v>
      </c>
      <c r="D16" s="14" t="s">
        <v>430</v>
      </c>
      <c r="E16" s="17" t="s">
        <v>52</v>
      </c>
      <c r="F16" s="13" t="s">
        <v>365</v>
      </c>
    </row>
    <row r="17" spans="1:6" ht="30" customHeight="1" x14ac:dyDescent="0.35">
      <c r="A17" s="13">
        <v>16</v>
      </c>
      <c r="B17" s="14" t="s">
        <v>431</v>
      </c>
      <c r="C17" s="14" t="s">
        <v>432</v>
      </c>
      <c r="D17" s="14" t="s">
        <v>433</v>
      </c>
      <c r="E17" s="17" t="s">
        <v>52</v>
      </c>
      <c r="F17" s="13" t="s">
        <v>385</v>
      </c>
    </row>
  </sheetData>
  <pageMargins left="0.4" right="0.4"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9A24A"/>
    <pageSetUpPr fitToPage="1"/>
  </sheetPr>
  <dimension ref="A1:F15"/>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40" customWidth="1"/>
    <col min="3" max="3" width="54" customWidth="1"/>
    <col min="4" max="4" width="46" customWidth="1"/>
    <col min="5" max="5" width="14" customWidth="1"/>
    <col min="6" max="6" width="11" customWidth="1"/>
  </cols>
  <sheetData>
    <row r="1" spans="1:6" x14ac:dyDescent="0.35">
      <c r="A1" s="12" t="s">
        <v>35</v>
      </c>
      <c r="B1" s="12" t="s">
        <v>333</v>
      </c>
      <c r="C1" s="12" t="s">
        <v>434</v>
      </c>
      <c r="D1" s="12" t="s">
        <v>435</v>
      </c>
      <c r="E1" s="12" t="s">
        <v>44</v>
      </c>
      <c r="F1" s="12" t="s">
        <v>337</v>
      </c>
    </row>
    <row r="2" spans="1:6" ht="30" customHeight="1" x14ac:dyDescent="0.35">
      <c r="A2" s="13">
        <v>1</v>
      </c>
      <c r="B2" s="14" t="s">
        <v>436</v>
      </c>
      <c r="C2" s="14" t="s">
        <v>437</v>
      </c>
      <c r="D2" s="14" t="s">
        <v>438</v>
      </c>
      <c r="E2" s="17" t="s">
        <v>52</v>
      </c>
      <c r="F2" s="13" t="s">
        <v>342</v>
      </c>
    </row>
    <row r="3" spans="1:6" ht="30" customHeight="1" x14ac:dyDescent="0.35">
      <c r="A3" s="13">
        <v>2</v>
      </c>
      <c r="B3" s="14" t="s">
        <v>439</v>
      </c>
      <c r="C3" s="14" t="s">
        <v>440</v>
      </c>
      <c r="D3" s="14" t="s">
        <v>441</v>
      </c>
      <c r="E3" s="17" t="s">
        <v>52</v>
      </c>
      <c r="F3" s="13" t="s">
        <v>342</v>
      </c>
    </row>
    <row r="4" spans="1:6" ht="30" customHeight="1" x14ac:dyDescent="0.35">
      <c r="A4" s="13">
        <v>3</v>
      </c>
      <c r="B4" s="14" t="s">
        <v>442</v>
      </c>
      <c r="C4" s="14" t="s">
        <v>443</v>
      </c>
      <c r="D4" s="14" t="s">
        <v>444</v>
      </c>
      <c r="E4" s="17" t="s">
        <v>52</v>
      </c>
      <c r="F4" s="13" t="s">
        <v>342</v>
      </c>
    </row>
    <row r="5" spans="1:6" ht="30" customHeight="1" x14ac:dyDescent="0.35">
      <c r="A5" s="13">
        <v>4</v>
      </c>
      <c r="B5" s="14" t="s">
        <v>445</v>
      </c>
      <c r="C5" s="14" t="s">
        <v>446</v>
      </c>
      <c r="D5" s="14" t="s">
        <v>447</v>
      </c>
      <c r="E5" s="18" t="s">
        <v>58</v>
      </c>
      <c r="F5" s="13" t="s">
        <v>342</v>
      </c>
    </row>
    <row r="6" spans="1:6" ht="30" customHeight="1" x14ac:dyDescent="0.35">
      <c r="A6" s="13">
        <v>5</v>
      </c>
      <c r="B6" s="14" t="s">
        <v>448</v>
      </c>
      <c r="C6" s="14" t="s">
        <v>449</v>
      </c>
      <c r="D6" s="14" t="s">
        <v>450</v>
      </c>
      <c r="E6" s="17" t="s">
        <v>52</v>
      </c>
      <c r="F6" s="13" t="s">
        <v>342</v>
      </c>
    </row>
    <row r="7" spans="1:6" ht="30" customHeight="1" x14ac:dyDescent="0.35">
      <c r="A7" s="13">
        <v>6</v>
      </c>
      <c r="B7" s="14" t="s">
        <v>451</v>
      </c>
      <c r="C7" s="14" t="s">
        <v>452</v>
      </c>
      <c r="D7" s="14" t="s">
        <v>453</v>
      </c>
      <c r="E7" s="17" t="s">
        <v>52</v>
      </c>
      <c r="F7" s="13" t="s">
        <v>365</v>
      </c>
    </row>
    <row r="8" spans="1:6" ht="30" customHeight="1" x14ac:dyDescent="0.35">
      <c r="A8" s="13">
        <v>7</v>
      </c>
      <c r="B8" s="14" t="s">
        <v>454</v>
      </c>
      <c r="C8" s="14" t="s">
        <v>455</v>
      </c>
      <c r="D8" s="14" t="s">
        <v>456</v>
      </c>
      <c r="E8" s="17" t="s">
        <v>52</v>
      </c>
      <c r="F8" s="13" t="s">
        <v>342</v>
      </c>
    </row>
    <row r="9" spans="1:6" ht="30" customHeight="1" x14ac:dyDescent="0.35">
      <c r="A9" s="13">
        <v>8</v>
      </c>
      <c r="B9" s="14" t="s">
        <v>457</v>
      </c>
      <c r="C9" s="14" t="s">
        <v>458</v>
      </c>
      <c r="D9" s="14" t="s">
        <v>459</v>
      </c>
      <c r="E9" s="17" t="s">
        <v>52</v>
      </c>
      <c r="F9" s="13" t="s">
        <v>365</v>
      </c>
    </row>
    <row r="10" spans="1:6" ht="30" customHeight="1" x14ac:dyDescent="0.35">
      <c r="A10" s="13">
        <v>9</v>
      </c>
      <c r="B10" s="14" t="s">
        <v>460</v>
      </c>
      <c r="C10" s="14" t="s">
        <v>461</v>
      </c>
      <c r="D10" s="14" t="s">
        <v>462</v>
      </c>
      <c r="E10" s="19" t="s">
        <v>64</v>
      </c>
      <c r="F10" s="13" t="s">
        <v>385</v>
      </c>
    </row>
    <row r="11" spans="1:6" ht="30" customHeight="1" x14ac:dyDescent="0.35">
      <c r="A11" s="13">
        <v>10</v>
      </c>
      <c r="B11" s="14" t="s">
        <v>463</v>
      </c>
      <c r="C11" s="14" t="s">
        <v>464</v>
      </c>
      <c r="D11" s="14" t="s">
        <v>465</v>
      </c>
      <c r="E11" s="19" t="s">
        <v>64</v>
      </c>
      <c r="F11" s="13" t="s">
        <v>385</v>
      </c>
    </row>
    <row r="12" spans="1:6" ht="30" customHeight="1" x14ac:dyDescent="0.35">
      <c r="A12" s="13">
        <v>11</v>
      </c>
      <c r="B12" s="14" t="s">
        <v>466</v>
      </c>
      <c r="C12" s="14" t="s">
        <v>467</v>
      </c>
      <c r="D12" s="14" t="s">
        <v>468</v>
      </c>
      <c r="E12" s="17" t="s">
        <v>52</v>
      </c>
      <c r="F12" s="13" t="s">
        <v>365</v>
      </c>
    </row>
    <row r="13" spans="1:6" ht="30" customHeight="1" x14ac:dyDescent="0.35">
      <c r="A13" s="13">
        <v>12</v>
      </c>
      <c r="B13" s="14" t="s">
        <v>469</v>
      </c>
      <c r="C13" s="14" t="s">
        <v>470</v>
      </c>
      <c r="D13" s="14" t="s">
        <v>471</v>
      </c>
      <c r="E13" s="17" t="s">
        <v>52</v>
      </c>
      <c r="F13" s="13" t="s">
        <v>365</v>
      </c>
    </row>
    <row r="14" spans="1:6" ht="30" customHeight="1" x14ac:dyDescent="0.35">
      <c r="A14" s="13">
        <v>13</v>
      </c>
      <c r="B14" s="14" t="s">
        <v>472</v>
      </c>
      <c r="C14" s="14" t="s">
        <v>473</v>
      </c>
      <c r="D14" s="14" t="s">
        <v>474</v>
      </c>
      <c r="E14" s="17" t="s">
        <v>52</v>
      </c>
      <c r="F14" s="13" t="s">
        <v>385</v>
      </c>
    </row>
    <row r="15" spans="1:6" ht="30" customHeight="1" x14ac:dyDescent="0.35">
      <c r="A15" s="13">
        <v>14</v>
      </c>
      <c r="B15" s="14" t="s">
        <v>475</v>
      </c>
      <c r="C15" s="14" t="s">
        <v>476</v>
      </c>
      <c r="D15" s="14" t="s">
        <v>477</v>
      </c>
      <c r="E15" s="19" t="s">
        <v>64</v>
      </c>
      <c r="F15" s="13" t="s">
        <v>365</v>
      </c>
    </row>
  </sheetData>
  <pageMargins left="0.4" right="0.4"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9A24A"/>
    <pageSetUpPr fitToPage="1"/>
  </sheetPr>
  <dimension ref="A1:E16"/>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34" customWidth="1"/>
    <col min="3" max="3" width="60" customWidth="1"/>
    <col min="4" max="4" width="40" customWidth="1"/>
    <col min="5" max="5" width="14" customWidth="1"/>
  </cols>
  <sheetData>
    <row r="1" spans="1:5" x14ac:dyDescent="0.35">
      <c r="A1" s="12" t="s">
        <v>35</v>
      </c>
      <c r="B1" s="12" t="s">
        <v>478</v>
      </c>
      <c r="C1" s="12" t="s">
        <v>479</v>
      </c>
      <c r="D1" s="12" t="s">
        <v>480</v>
      </c>
      <c r="E1" s="12" t="s">
        <v>44</v>
      </c>
    </row>
    <row r="2" spans="1:5" ht="30" customHeight="1" x14ac:dyDescent="0.35">
      <c r="A2" s="13">
        <v>1</v>
      </c>
      <c r="B2" s="14" t="s">
        <v>481</v>
      </c>
      <c r="C2" s="14" t="s">
        <v>482</v>
      </c>
      <c r="D2" s="14" t="s">
        <v>483</v>
      </c>
      <c r="E2" s="17" t="s">
        <v>52</v>
      </c>
    </row>
    <row r="3" spans="1:5" ht="30" customHeight="1" x14ac:dyDescent="0.35">
      <c r="A3" s="13">
        <v>2</v>
      </c>
      <c r="B3" s="14" t="s">
        <v>484</v>
      </c>
      <c r="C3" s="14" t="s">
        <v>485</v>
      </c>
      <c r="D3" s="14" t="s">
        <v>486</v>
      </c>
      <c r="E3" s="17" t="s">
        <v>52</v>
      </c>
    </row>
    <row r="4" spans="1:5" ht="30" customHeight="1" x14ac:dyDescent="0.35">
      <c r="A4" s="13">
        <v>3</v>
      </c>
      <c r="B4" s="14" t="s">
        <v>487</v>
      </c>
      <c r="C4" s="14" t="s">
        <v>488</v>
      </c>
      <c r="D4" s="14" t="s">
        <v>489</v>
      </c>
      <c r="E4" s="17" t="s">
        <v>52</v>
      </c>
    </row>
    <row r="5" spans="1:5" ht="30" customHeight="1" x14ac:dyDescent="0.35">
      <c r="A5" s="13">
        <v>4</v>
      </c>
      <c r="B5" s="14" t="s">
        <v>490</v>
      </c>
      <c r="C5" s="14" t="s">
        <v>491</v>
      </c>
      <c r="D5" s="14" t="s">
        <v>492</v>
      </c>
      <c r="E5" s="17" t="s">
        <v>52</v>
      </c>
    </row>
    <row r="6" spans="1:5" ht="30" customHeight="1" x14ac:dyDescent="0.35">
      <c r="A6" s="13">
        <v>5</v>
      </c>
      <c r="B6" s="14" t="s">
        <v>493</v>
      </c>
      <c r="C6" s="14" t="s">
        <v>494</v>
      </c>
      <c r="D6" s="14" t="s">
        <v>495</v>
      </c>
      <c r="E6" s="20" t="s">
        <v>97</v>
      </c>
    </row>
    <row r="7" spans="1:5" ht="30" customHeight="1" x14ac:dyDescent="0.35">
      <c r="A7" s="13">
        <v>6</v>
      </c>
      <c r="B7" s="14" t="s">
        <v>496</v>
      </c>
      <c r="C7" s="14" t="s">
        <v>497</v>
      </c>
      <c r="D7" s="14" t="s">
        <v>498</v>
      </c>
      <c r="E7" s="17" t="s">
        <v>52</v>
      </c>
    </row>
    <row r="8" spans="1:5" ht="30" customHeight="1" x14ac:dyDescent="0.35">
      <c r="A8" s="13">
        <v>7</v>
      </c>
      <c r="B8" s="14" t="s">
        <v>499</v>
      </c>
      <c r="C8" s="14" t="s">
        <v>500</v>
      </c>
      <c r="D8" s="14" t="s">
        <v>501</v>
      </c>
      <c r="E8" s="17" t="s">
        <v>52</v>
      </c>
    </row>
    <row r="9" spans="1:5" ht="30" customHeight="1" x14ac:dyDescent="0.35">
      <c r="A9" s="13">
        <v>8</v>
      </c>
      <c r="B9" s="14" t="s">
        <v>502</v>
      </c>
      <c r="C9" s="14" t="s">
        <v>503</v>
      </c>
      <c r="D9" s="14" t="s">
        <v>504</v>
      </c>
      <c r="E9" s="17" t="s">
        <v>52</v>
      </c>
    </row>
    <row r="10" spans="1:5" ht="30" customHeight="1" x14ac:dyDescent="0.35">
      <c r="A10" s="13">
        <v>9</v>
      </c>
      <c r="B10" s="14" t="s">
        <v>505</v>
      </c>
      <c r="C10" s="14" t="s">
        <v>506</v>
      </c>
      <c r="D10" s="14" t="s">
        <v>507</v>
      </c>
      <c r="E10" s="19" t="s">
        <v>64</v>
      </c>
    </row>
    <row r="11" spans="1:5" ht="30" customHeight="1" x14ac:dyDescent="0.35">
      <c r="A11" s="13">
        <v>10</v>
      </c>
      <c r="B11" s="14" t="s">
        <v>508</v>
      </c>
      <c r="C11" s="14" t="s">
        <v>509</v>
      </c>
      <c r="D11" s="14" t="s">
        <v>378</v>
      </c>
      <c r="E11" s="17" t="s">
        <v>52</v>
      </c>
    </row>
    <row r="12" spans="1:5" ht="30" customHeight="1" x14ac:dyDescent="0.35">
      <c r="A12" s="13">
        <v>11</v>
      </c>
      <c r="B12" s="14" t="s">
        <v>510</v>
      </c>
      <c r="C12" s="14" t="s">
        <v>511</v>
      </c>
      <c r="D12" s="14" t="s">
        <v>378</v>
      </c>
      <c r="E12" s="17" t="s">
        <v>52</v>
      </c>
    </row>
    <row r="13" spans="1:5" ht="30" customHeight="1" x14ac:dyDescent="0.35">
      <c r="A13" s="13">
        <v>12</v>
      </c>
      <c r="B13" s="14" t="s">
        <v>512</v>
      </c>
      <c r="C13" s="14" t="s">
        <v>513</v>
      </c>
      <c r="D13" s="14" t="s">
        <v>483</v>
      </c>
      <c r="E13" s="17" t="s">
        <v>52</v>
      </c>
    </row>
    <row r="14" spans="1:5" ht="30" customHeight="1" x14ac:dyDescent="0.35">
      <c r="A14" s="13">
        <v>13</v>
      </c>
      <c r="B14" s="14" t="s">
        <v>514</v>
      </c>
      <c r="C14" s="14" t="s">
        <v>515</v>
      </c>
      <c r="D14" s="14" t="s">
        <v>507</v>
      </c>
      <c r="E14" s="19" t="s">
        <v>64</v>
      </c>
    </row>
    <row r="15" spans="1:5" ht="30" customHeight="1" x14ac:dyDescent="0.35">
      <c r="A15" s="13">
        <v>14</v>
      </c>
      <c r="B15" s="14" t="s">
        <v>516</v>
      </c>
      <c r="C15" s="14" t="s">
        <v>517</v>
      </c>
      <c r="D15" s="14" t="s">
        <v>483</v>
      </c>
      <c r="E15" s="17" t="s">
        <v>52</v>
      </c>
    </row>
    <row r="16" spans="1:5" ht="30" customHeight="1" x14ac:dyDescent="0.35">
      <c r="A16" s="13">
        <v>15</v>
      </c>
      <c r="B16" s="14" t="s">
        <v>518</v>
      </c>
      <c r="C16" s="14" t="s">
        <v>519</v>
      </c>
      <c r="D16" s="14" t="s">
        <v>483</v>
      </c>
      <c r="E16" s="17" t="s">
        <v>52</v>
      </c>
    </row>
  </sheetData>
  <pageMargins left="0.4" right="0.4"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9A24A"/>
    <pageSetUpPr fitToPage="1"/>
  </sheetPr>
  <dimension ref="A1:H13"/>
  <sheetViews>
    <sheetView zoomScale="90" workbookViewId="0">
      <pane xSplit="2" ySplit="1" topLeftCell="C2" activePane="bottomRight" state="frozen"/>
      <selection pane="topRight"/>
      <selection pane="bottomLeft"/>
      <selection pane="bottomRight"/>
    </sheetView>
  </sheetViews>
  <sheetFormatPr defaultRowHeight="14.5" x14ac:dyDescent="0.35"/>
  <cols>
    <col min="1" max="1" width="5" customWidth="1"/>
    <col min="2" max="2" width="46" customWidth="1"/>
    <col min="3" max="4" width="34" customWidth="1"/>
    <col min="5" max="5" width="30" customWidth="1"/>
    <col min="6" max="6" width="34" customWidth="1"/>
    <col min="7" max="7" width="18" customWidth="1"/>
    <col min="8" max="8" width="34" customWidth="1"/>
  </cols>
  <sheetData>
    <row r="1" spans="1:8" ht="26" x14ac:dyDescent="0.35">
      <c r="A1" s="12" t="s">
        <v>35</v>
      </c>
      <c r="B1" s="12" t="s">
        <v>520</v>
      </c>
      <c r="C1" s="12" t="s">
        <v>521</v>
      </c>
      <c r="D1" s="12" t="s">
        <v>522</v>
      </c>
      <c r="E1" s="12" t="s">
        <v>523</v>
      </c>
      <c r="F1" s="12" t="s">
        <v>207</v>
      </c>
      <c r="G1" s="12" t="s">
        <v>524</v>
      </c>
      <c r="H1" s="12" t="s">
        <v>525</v>
      </c>
    </row>
    <row r="2" spans="1:8" ht="30" customHeight="1" x14ac:dyDescent="0.35">
      <c r="A2" s="13">
        <v>1</v>
      </c>
      <c r="B2" s="14" t="s">
        <v>526</v>
      </c>
      <c r="C2" s="14" t="s">
        <v>527</v>
      </c>
      <c r="D2" s="14" t="s">
        <v>528</v>
      </c>
      <c r="E2" s="14" t="s">
        <v>529</v>
      </c>
      <c r="F2" s="23" t="s">
        <v>530</v>
      </c>
      <c r="G2" s="24"/>
      <c r="H2" s="25"/>
    </row>
    <row r="3" spans="1:8" ht="30" customHeight="1" x14ac:dyDescent="0.35">
      <c r="A3" s="13">
        <v>2</v>
      </c>
      <c r="B3" s="14" t="s">
        <v>531</v>
      </c>
      <c r="C3" s="14" t="s">
        <v>532</v>
      </c>
      <c r="D3" s="14" t="s">
        <v>533</v>
      </c>
      <c r="E3" s="14" t="s">
        <v>534</v>
      </c>
      <c r="F3" s="23" t="s">
        <v>535</v>
      </c>
      <c r="G3" s="24"/>
      <c r="H3" s="25"/>
    </row>
    <row r="4" spans="1:8" ht="30" customHeight="1" x14ac:dyDescent="0.35">
      <c r="A4" s="13">
        <v>3</v>
      </c>
      <c r="B4" s="14" t="s">
        <v>536</v>
      </c>
      <c r="C4" s="14" t="s">
        <v>537</v>
      </c>
      <c r="D4" s="14" t="s">
        <v>538</v>
      </c>
      <c r="E4" s="14" t="s">
        <v>539</v>
      </c>
      <c r="F4" s="23" t="s">
        <v>530</v>
      </c>
      <c r="G4" s="24"/>
      <c r="H4" s="25"/>
    </row>
    <row r="5" spans="1:8" ht="30" customHeight="1" x14ac:dyDescent="0.35">
      <c r="A5" s="13">
        <v>4</v>
      </c>
      <c r="B5" s="14" t="s">
        <v>540</v>
      </c>
      <c r="C5" s="14" t="s">
        <v>541</v>
      </c>
      <c r="D5" s="14" t="s">
        <v>542</v>
      </c>
      <c r="E5" s="14" t="s">
        <v>543</v>
      </c>
      <c r="F5" s="23" t="s">
        <v>544</v>
      </c>
      <c r="G5" s="24"/>
      <c r="H5" s="25"/>
    </row>
    <row r="6" spans="1:8" ht="30" customHeight="1" x14ac:dyDescent="0.35">
      <c r="A6" s="13">
        <v>5</v>
      </c>
      <c r="B6" s="14" t="s">
        <v>545</v>
      </c>
      <c r="C6" s="14" t="s">
        <v>546</v>
      </c>
      <c r="D6" s="14" t="s">
        <v>547</v>
      </c>
      <c r="E6" s="14" t="s">
        <v>548</v>
      </c>
      <c r="F6" s="23" t="s">
        <v>530</v>
      </c>
      <c r="G6" s="24"/>
      <c r="H6" s="25"/>
    </row>
    <row r="7" spans="1:8" ht="30" customHeight="1" x14ac:dyDescent="0.35">
      <c r="A7" s="13">
        <v>6</v>
      </c>
      <c r="B7" s="14" t="s">
        <v>549</v>
      </c>
      <c r="C7" s="14" t="s">
        <v>550</v>
      </c>
      <c r="D7" s="14" t="s">
        <v>551</v>
      </c>
      <c r="E7" s="14" t="s">
        <v>552</v>
      </c>
      <c r="F7" s="23" t="s">
        <v>530</v>
      </c>
      <c r="G7" s="24"/>
      <c r="H7" s="25"/>
    </row>
    <row r="8" spans="1:8" ht="30" customHeight="1" x14ac:dyDescent="0.35">
      <c r="A8" s="13">
        <v>7</v>
      </c>
      <c r="B8" s="14" t="s">
        <v>553</v>
      </c>
      <c r="C8" s="14" t="s">
        <v>537</v>
      </c>
      <c r="D8" s="14" t="s">
        <v>554</v>
      </c>
      <c r="E8" s="14" t="s">
        <v>555</v>
      </c>
      <c r="F8" s="23" t="s">
        <v>530</v>
      </c>
      <c r="G8" s="24"/>
      <c r="H8" s="25"/>
    </row>
    <row r="9" spans="1:8" ht="30" customHeight="1" x14ac:dyDescent="0.35">
      <c r="A9" s="13">
        <v>8</v>
      </c>
      <c r="B9" s="14" t="s">
        <v>556</v>
      </c>
      <c r="C9" s="14" t="s">
        <v>557</v>
      </c>
      <c r="D9" s="14" t="s">
        <v>558</v>
      </c>
      <c r="E9" s="14" t="s">
        <v>559</v>
      </c>
      <c r="F9" s="23" t="s">
        <v>535</v>
      </c>
      <c r="G9" s="24"/>
      <c r="H9" s="25"/>
    </row>
    <row r="10" spans="1:8" ht="30" customHeight="1" x14ac:dyDescent="0.35">
      <c r="A10" s="13">
        <v>9</v>
      </c>
      <c r="B10" s="14" t="s">
        <v>560</v>
      </c>
      <c r="C10" s="14" t="s">
        <v>561</v>
      </c>
      <c r="D10" s="14" t="s">
        <v>551</v>
      </c>
      <c r="E10" s="14" t="s">
        <v>562</v>
      </c>
      <c r="F10" s="23" t="s">
        <v>544</v>
      </c>
      <c r="G10" s="24"/>
      <c r="H10" s="25"/>
    </row>
    <row r="11" spans="1:8" ht="30" customHeight="1" x14ac:dyDescent="0.35">
      <c r="A11" s="13">
        <v>10</v>
      </c>
      <c r="B11" s="14" t="s">
        <v>563</v>
      </c>
      <c r="C11" s="14" t="s">
        <v>564</v>
      </c>
      <c r="D11" s="14" t="s">
        <v>565</v>
      </c>
      <c r="E11" s="14" t="s">
        <v>566</v>
      </c>
      <c r="F11" s="23" t="s">
        <v>530</v>
      </c>
      <c r="G11" s="24"/>
      <c r="H11" s="25"/>
    </row>
    <row r="12" spans="1:8" ht="30" customHeight="1" x14ac:dyDescent="0.35">
      <c r="A12" s="13">
        <v>11</v>
      </c>
      <c r="B12" s="14" t="s">
        <v>567</v>
      </c>
      <c r="C12" s="14" t="s">
        <v>568</v>
      </c>
      <c r="D12" s="14" t="s">
        <v>569</v>
      </c>
      <c r="E12" s="14" t="s">
        <v>570</v>
      </c>
      <c r="F12" s="23" t="s">
        <v>530</v>
      </c>
      <c r="G12" s="24"/>
      <c r="H12" s="25"/>
    </row>
    <row r="13" spans="1:8" ht="30" customHeight="1" x14ac:dyDescent="0.35">
      <c r="A13" s="13">
        <v>12</v>
      </c>
      <c r="B13" s="14" t="s">
        <v>571</v>
      </c>
      <c r="C13" s="14" t="s">
        <v>572</v>
      </c>
      <c r="D13" s="14" t="s">
        <v>573</v>
      </c>
      <c r="E13" s="14" t="s">
        <v>574</v>
      </c>
      <c r="F13" s="23" t="s">
        <v>530</v>
      </c>
      <c r="G13" s="24"/>
      <c r="H13" s="25"/>
    </row>
  </sheetData>
  <dataValidations count="1">
    <dataValidation type="list" allowBlank="1" sqref="G2 G3 G4 G5 G6 G7 G8 G9 G10 G11 G12 G13" xr:uid="{00000000-0002-0000-0700-000000000000}">
      <formula1>"A,B,C"</formula1>
    </dataValidation>
  </dataValidations>
  <pageMargins left="0.4" right="0.4"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9A24A"/>
    <pageSetUpPr fitToPage="1"/>
  </sheetPr>
  <dimension ref="A1:F27"/>
  <sheetViews>
    <sheetView workbookViewId="0"/>
  </sheetViews>
  <sheetFormatPr defaultRowHeight="14.5" x14ac:dyDescent="0.35"/>
  <cols>
    <col min="1" max="1" width="44" customWidth="1"/>
    <col min="2" max="5" width="18" customWidth="1"/>
    <col min="6" max="6" width="40" customWidth="1"/>
  </cols>
  <sheetData>
    <row r="1" spans="1:6" ht="15.5" x14ac:dyDescent="0.35">
      <c r="A1" s="5" t="s">
        <v>575</v>
      </c>
    </row>
    <row r="3" spans="1:6" x14ac:dyDescent="0.35">
      <c r="A3" s="6" t="s">
        <v>576</v>
      </c>
      <c r="B3" s="26">
        <v>1</v>
      </c>
      <c r="F3" s="27" t="s">
        <v>577</v>
      </c>
    </row>
    <row r="4" spans="1:6" x14ac:dyDescent="0.35">
      <c r="A4" s="6" t="s">
        <v>578</v>
      </c>
      <c r="B4" s="26">
        <v>5</v>
      </c>
      <c r="F4" s="27" t="s">
        <v>579</v>
      </c>
    </row>
    <row r="5" spans="1:6" x14ac:dyDescent="0.35">
      <c r="A5" s="6" t="s">
        <v>580</v>
      </c>
      <c r="B5" s="26" t="s">
        <v>105</v>
      </c>
      <c r="F5" s="27" t="s">
        <v>581</v>
      </c>
    </row>
    <row r="6" spans="1:6" x14ac:dyDescent="0.35">
      <c r="A6" s="6" t="s">
        <v>582</v>
      </c>
      <c r="B6" s="26">
        <v>100</v>
      </c>
      <c r="F6" s="27" t="s">
        <v>583</v>
      </c>
    </row>
    <row r="7" spans="1:6" x14ac:dyDescent="0.35">
      <c r="A7" s="6" t="s">
        <v>584</v>
      </c>
      <c r="B7" s="26">
        <v>4</v>
      </c>
      <c r="F7" s="27" t="s">
        <v>585</v>
      </c>
    </row>
    <row r="8" spans="1:6" x14ac:dyDescent="0.35">
      <c r="A8" s="6" t="s">
        <v>586</v>
      </c>
      <c r="B8" s="26">
        <v>1</v>
      </c>
      <c r="F8" s="27" t="s">
        <v>587</v>
      </c>
    </row>
    <row r="9" spans="1:6" x14ac:dyDescent="0.35">
      <c r="A9" s="6" t="s">
        <v>588</v>
      </c>
      <c r="B9" s="26">
        <v>5</v>
      </c>
      <c r="F9" s="27" t="s">
        <v>589</v>
      </c>
    </row>
    <row r="10" spans="1:6" x14ac:dyDescent="0.35">
      <c r="A10" s="6" t="s">
        <v>590</v>
      </c>
      <c r="B10" s="26">
        <v>1</v>
      </c>
      <c r="F10" s="27" t="s">
        <v>591</v>
      </c>
    </row>
    <row r="12" spans="1:6" x14ac:dyDescent="0.35">
      <c r="A12" s="3" t="s">
        <v>592</v>
      </c>
      <c r="B12" s="28">
        <f>B9*B10</f>
        <v>5</v>
      </c>
    </row>
    <row r="14" spans="1:6" ht="15.5" x14ac:dyDescent="0.35">
      <c r="A14" s="5" t="s">
        <v>593</v>
      </c>
    </row>
    <row r="15" spans="1:6" x14ac:dyDescent="0.35">
      <c r="A15" t="s">
        <v>594</v>
      </c>
      <c r="B15" s="29">
        <v>0.18</v>
      </c>
      <c r="F15" s="27" t="s">
        <v>595</v>
      </c>
    </row>
    <row r="17" spans="1:5" ht="26" x14ac:dyDescent="0.35">
      <c r="A17" s="12" t="s">
        <v>596</v>
      </c>
      <c r="B17" s="12" t="s">
        <v>597</v>
      </c>
      <c r="C17" s="12" t="s">
        <v>598</v>
      </c>
      <c r="D17" s="12" t="s">
        <v>599</v>
      </c>
      <c r="E17" s="12" t="s">
        <v>600</v>
      </c>
    </row>
    <row r="18" spans="1:5" x14ac:dyDescent="0.35">
      <c r="A18" s="30">
        <v>100</v>
      </c>
      <c r="B18" s="30">
        <v>1999</v>
      </c>
      <c r="C18" s="31">
        <f t="shared" ref="C18:C25" si="0">ROUND(B18*$B$15,2)</f>
        <v>359.82</v>
      </c>
      <c r="D18" s="31">
        <f t="shared" ref="D18:D25" si="1">B18+C18</f>
        <v>2358.8200000000002</v>
      </c>
      <c r="E18" s="31">
        <f t="shared" ref="E18:E25" si="2">B18/A18</f>
        <v>19.989999999999998</v>
      </c>
    </row>
    <row r="19" spans="1:5" x14ac:dyDescent="0.35">
      <c r="A19" s="30">
        <v>250</v>
      </c>
      <c r="B19" s="30">
        <v>2999</v>
      </c>
      <c r="C19" s="31">
        <f t="shared" si="0"/>
        <v>539.82000000000005</v>
      </c>
      <c r="D19" s="31">
        <f t="shared" si="1"/>
        <v>3538.82</v>
      </c>
      <c r="E19" s="31">
        <f t="shared" si="2"/>
        <v>11.996</v>
      </c>
    </row>
    <row r="20" spans="1:5" x14ac:dyDescent="0.35">
      <c r="A20" s="30">
        <v>500</v>
      </c>
      <c r="B20" s="30">
        <v>3999</v>
      </c>
      <c r="C20" s="31">
        <f t="shared" si="0"/>
        <v>719.82</v>
      </c>
      <c r="D20" s="31">
        <f t="shared" si="1"/>
        <v>4718.82</v>
      </c>
      <c r="E20" s="31">
        <f t="shared" si="2"/>
        <v>7.9980000000000002</v>
      </c>
    </row>
    <row r="21" spans="1:5" x14ac:dyDescent="0.35">
      <c r="A21" s="30">
        <v>750</v>
      </c>
      <c r="B21" s="30">
        <v>4999</v>
      </c>
      <c r="C21" s="31">
        <f t="shared" si="0"/>
        <v>899.82</v>
      </c>
      <c r="D21" s="31">
        <f t="shared" si="1"/>
        <v>5898.82</v>
      </c>
      <c r="E21" s="31">
        <f t="shared" si="2"/>
        <v>6.6653333333333338</v>
      </c>
    </row>
    <row r="22" spans="1:5" x14ac:dyDescent="0.35">
      <c r="A22" s="30">
        <v>1000</v>
      </c>
      <c r="B22" s="30">
        <v>5999</v>
      </c>
      <c r="C22" s="31">
        <f t="shared" si="0"/>
        <v>1079.82</v>
      </c>
      <c r="D22" s="31">
        <f t="shared" si="1"/>
        <v>7078.82</v>
      </c>
      <c r="E22" s="31">
        <f t="shared" si="2"/>
        <v>5.9989999999999997</v>
      </c>
    </row>
    <row r="23" spans="1:5" x14ac:dyDescent="0.35">
      <c r="A23" s="30">
        <v>2500</v>
      </c>
      <c r="B23" s="30">
        <v>9999</v>
      </c>
      <c r="C23" s="31">
        <f t="shared" si="0"/>
        <v>1799.82</v>
      </c>
      <c r="D23" s="31">
        <f t="shared" si="1"/>
        <v>11798.82</v>
      </c>
      <c r="E23" s="31">
        <f t="shared" si="2"/>
        <v>3.9996</v>
      </c>
    </row>
    <row r="24" spans="1:5" x14ac:dyDescent="0.35">
      <c r="A24" s="30">
        <v>5000</v>
      </c>
      <c r="B24" s="30">
        <v>14999</v>
      </c>
      <c r="C24" s="31">
        <f t="shared" si="0"/>
        <v>2699.82</v>
      </c>
      <c r="D24" s="31">
        <f t="shared" si="1"/>
        <v>17698.82</v>
      </c>
      <c r="E24" s="31">
        <f t="shared" si="2"/>
        <v>2.9998</v>
      </c>
    </row>
    <row r="25" spans="1:5" x14ac:dyDescent="0.35">
      <c r="A25" s="30">
        <v>10000</v>
      </c>
      <c r="B25" s="30">
        <v>24999</v>
      </c>
      <c r="C25" s="31">
        <f t="shared" si="0"/>
        <v>4499.82</v>
      </c>
      <c r="D25" s="31">
        <f t="shared" si="1"/>
        <v>29498.82</v>
      </c>
      <c r="E25" s="31">
        <f t="shared" si="2"/>
        <v>2.4998999999999998</v>
      </c>
    </row>
    <row r="27" spans="1:5" x14ac:dyDescent="0.35">
      <c r="A27" s="27" t="s">
        <v>601</v>
      </c>
    </row>
  </sheetData>
  <pageMargins left="0.4" right="0.4"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Read me</vt:lpstr>
      <vt:lpstr>Role matrix</vt:lpstr>
      <vt:lpstr>Your sheet vs system</vt:lpstr>
      <vt:lpstr>Payment made easy</vt:lpstr>
      <vt:lpstr>Easy for organizer and host</vt:lpstr>
      <vt:lpstr>Easy for participants</vt:lpstr>
      <vt:lpstr>Data timeline</vt:lpstr>
      <vt:lpstr>Decisions needed</vt:lpstr>
      <vt:lpstr>Limits and prices</vt:lpstr>
      <vt:lpstr>'Data timeline'!Print_Titles</vt:lpstr>
      <vt:lpstr>'Decisions needed'!Print_Titles</vt:lpstr>
      <vt:lpstr>'Easy for organizer and host'!Print_Titles</vt:lpstr>
      <vt:lpstr>'Easy for participants'!Print_Titles</vt:lpstr>
      <vt:lpstr>'Payment made easy'!Print_Titles</vt:lpstr>
      <vt:lpstr>'Role matrix'!Print_Titles</vt:lpstr>
      <vt:lpstr>'Your sheet vs system'!Print_Titles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Rajat Agarwal</cp:lastModifiedBy>
  <dcterms:created xsi:type="dcterms:W3CDTF">2026-10-08T03:19:45Z</dcterms:created>
  <dcterms:modified xsi:type="dcterms:W3CDTF">2026-10-08T03:20:04Z</dcterms:modified>
</cp:coreProperties>
</file>